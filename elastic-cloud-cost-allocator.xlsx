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8696" tabRatio="600" firstSheet="0" activeTab="6" autoFilterDateGrouping="1"/>
  </bookViews>
  <sheets>
    <sheet xmlns:r="http://schemas.openxmlformats.org/officeDocument/2006/relationships" name="Measurement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Without Admin Cost" sheetId="3" state="visible" r:id="rId3"/>
    <sheet xmlns:r="http://schemas.openxmlformats.org/officeDocument/2006/relationships" name="With Admin Cost" sheetId="4" state="visible" r:id="rId4"/>
    <sheet xmlns:r="http://schemas.openxmlformats.org/officeDocument/2006/relationships" name="Sample Cloud Apps" sheetId="5" state="visible" r:id="rId5"/>
    <sheet xmlns:r="http://schemas.openxmlformats.org/officeDocument/2006/relationships" name="Sample OnPrem Apps" sheetId="6" state="visible" r:id="rId6"/>
    <sheet xmlns:r="http://schemas.openxmlformats.org/officeDocument/2006/relationships" name="Any Family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#.##00"/>
    <numFmt numFmtId="165" formatCode="#.##0"/>
    <numFmt numFmtId="166" formatCode="#,000"/>
    <numFmt numFmtId="167" formatCode="#.##000"/>
    <numFmt numFmtId="168" formatCode="#.##0000"/>
    <numFmt numFmtId="169" formatCode="#,000%"/>
    <numFmt numFmtId="170" formatCode="#,##0.000"/>
    <numFmt numFmtId="171" formatCode="#,##0.000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rgb="FFFFFFFF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3E3F9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3" fillId="4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164" fontId="0" fillId="3" borderId="0" applyAlignment="1" pivotButton="0" quotePrefix="0" xfId="0">
      <alignment vertical="top"/>
    </xf>
    <xf numFmtId="165" fontId="0" fillId="3" borderId="0" applyAlignment="1" pivotButton="0" quotePrefix="0" xfId="0">
      <alignment vertical="top"/>
    </xf>
    <xf numFmtId="166" fontId="0" fillId="3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1" fontId="0" fillId="3" borderId="0" applyAlignment="1" pivotButton="0" quotePrefix="0" xfId="0">
      <alignment vertical="top"/>
    </xf>
    <xf numFmtId="167" fontId="0" fillId="0" borderId="0" applyAlignment="1" pivotButton="0" quotePrefix="0" xfId="0">
      <alignment vertical="top"/>
    </xf>
    <xf numFmtId="168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0" fontId="1" fillId="2" borderId="0" pivotButton="0" quotePrefix="0" xfId="0"/>
    <xf numFmtId="165" fontId="0" fillId="0" borderId="0" pivotButton="0" quotePrefix="0" xfId="0"/>
    <xf numFmtId="0" fontId="1" fillId="0" borderId="0" pivotButton="0" quotePrefix="0" xfId="0"/>
    <xf numFmtId="167" fontId="0" fillId="3" borderId="0" pivotButton="0" quotePrefix="0" xfId="0"/>
    <xf numFmtId="0" fontId="1" fillId="5" borderId="0" pivotButton="0" quotePrefix="0" xfId="0"/>
    <xf numFmtId="169" fontId="1" fillId="0" borderId="0" applyAlignment="1" pivotButton="0" quotePrefix="0" xfId="0">
      <alignment vertical="top"/>
    </xf>
    <xf numFmtId="169" fontId="1" fillId="5" borderId="0" applyAlignment="1" pivotButton="0" quotePrefix="0" xfId="0">
      <alignment vertical="top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top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3" borderId="0" pivotButton="0" quotePrefix="0" xfId="0"/>
    <xf numFmtId="170" fontId="0" fillId="0" borderId="0" applyAlignment="1" pivotButton="0" quotePrefix="0" xfId="0">
      <alignment vertical="top"/>
    </xf>
    <xf numFmtId="170" fontId="3" fillId="4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0" fontId="1" fillId="0" borderId="0" applyAlignment="1" pivotButton="0" quotePrefix="0" xfId="0">
      <alignment vertical="top"/>
    </xf>
    <xf numFmtId="170" fontId="0" fillId="0" borderId="0" pivotButton="0" quotePrefix="0" xfId="0"/>
    <xf numFmtId="10" fontId="0" fillId="0" borderId="0" applyAlignment="1" pivotButton="0" quotePrefix="0" xfId="0">
      <alignment vertical="top"/>
    </xf>
    <xf numFmtId="171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4" fontId="0" fillId="0" borderId="0" applyAlignment="1" pivotButton="0" quotePrefix="0" xfId="0">
      <alignment vertical="top"/>
    </xf>
    <xf numFmtId="4" fontId="1" fillId="0" borderId="0" applyAlignment="1" pivotButton="0" quotePrefix="0" xfId="0">
      <alignment vertical="top"/>
    </xf>
    <xf numFmtId="170" fontId="0" fillId="3" borderId="0" pivotButton="0" quotePrefix="0" xfId="0"/>
    <xf numFmtId="170" fontId="3" fillId="4" borderId="0" applyAlignment="1" pivotButton="0" quotePrefix="0" xfId="0">
      <alignment wrapText="1"/>
    </xf>
    <xf numFmtId="170" fontId="0" fillId="0" borderId="0" applyAlignment="1" pivotButton="0" quotePrefix="0" xfId="0">
      <alignment wrapText="1"/>
    </xf>
    <xf numFmtId="170" fontId="1" fillId="0" borderId="0" pivotButton="0" quotePrefix="0" xfId="0"/>
    <xf numFmtId="10" fontId="0" fillId="0" borderId="0" pivotButton="0" quotePrefix="0" xfId="0"/>
    <xf numFmtId="171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4" fontId="1" fillId="0" borderId="0" pivotButton="0" quotePrefix="0" xfId="0"/>
    <xf numFmtId="10" fontId="0" fillId="3" borderId="0" applyAlignment="1" pivotButton="0" quotePrefix="0" xfId="0">
      <alignment vertical="top"/>
    </xf>
    <xf numFmtId="171" fontId="0" fillId="3" borderId="0" applyAlignment="1" pivotButton="0" quotePrefix="0" xfId="0">
      <alignment vertical="top"/>
    </xf>
    <xf numFmtId="171" fontId="1" fillId="0" borderId="0" applyAlignment="1" pivotButton="0" quotePrefix="0" xfId="0">
      <alignment vertical="top"/>
    </xf>
    <xf numFmtId="170" fontId="0" fillId="6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10" fontId="0" fillId="3" borderId="0" pivotButton="0" quotePrefix="0" xfId="0"/>
    <xf numFmtId="10" fontId="1" fillId="5" borderId="0" pivotButton="0" quotePrefix="0" xfId="0"/>
    <xf numFmtId="10" fontId="1" fillId="0" borderId="0" pivotButton="0" quotePrefix="0" xfId="0"/>
    <xf numFmtId="4" fontId="0" fillId="3" borderId="0" pivotButton="0" quotePrefix="0" xfId="0"/>
    <xf numFmtId="0" fontId="0" fillId="0" borderId="0" applyAlignment="1" pivotButton="0" quotePrefix="0" xfId="0">
      <alignment wrapText="1"/>
    </xf>
    <xf numFmtId="0" fontId="1" fillId="2" borderId="0" pivotButton="0" quotePrefix="0" xfId="0"/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/>
    </xf>
    <xf numFmtId="165" fontId="0" fillId="3" borderId="0" applyAlignment="1" pivotButton="0" quotePrefix="0" xfId="0">
      <alignment vertical="top"/>
    </xf>
    <xf numFmtId="166" fontId="0" fillId="3" borderId="0" applyAlignment="1" pivotButton="0" quotePrefix="0" xfId="0">
      <alignment vertical="top"/>
    </xf>
    <xf numFmtId="167" fontId="0" fillId="0" borderId="0" applyAlignment="1" pivotButton="0" quotePrefix="0" xfId="0">
      <alignment vertical="top"/>
    </xf>
    <xf numFmtId="167" fontId="0" fillId="3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2" topLeftCell="A3" activePane="bottomLeft" state="frozenSplit"/>
      <selection pane="bottomLeft" activeCell="A1" sqref="A1:K1"/>
    </sheetView>
  </sheetViews>
  <sheetFormatPr baseColWidth="10" defaultRowHeight="15"/>
  <cols>
    <col width="62.7109375" customWidth="1" style="58" min="1" max="1"/>
    <col width="12.7109375" customWidth="1" style="58" min="2" max="2"/>
    <col width="78.7109375" customWidth="1" style="58" min="3" max="3"/>
    <col width="16.7109375" customWidth="1" style="58" min="4" max="11"/>
  </cols>
  <sheetData>
    <row r="1" ht="30" customHeight="1" s="58">
      <c r="A1" s="56" t="inlineStr">
        <is>
          <t>Measurement real PRE, PRO y Monitoring. sample snapshot date. No hay cifras escritas a mano.</t>
        </is>
      </c>
    </row>
    <row r="2" ht="36" customHeight="1" s="58">
      <c r="A2" s="5" t="inlineStr">
        <is>
          <t>Familia</t>
        </is>
      </c>
      <c r="B2" s="5" t="inlineStr">
        <is>
          <t>Entorno</t>
        </is>
      </c>
      <c r="C2" s="5" t="inlineStr">
        <is>
          <t>Que es</t>
        </is>
      </c>
      <c r="D2" s="5" t="inlineStr">
        <is>
          <t>Eventos/s ultimos 15 min</t>
        </is>
      </c>
      <c r="E2" s="5" t="inlineStr">
        <is>
          <t>KB/doc</t>
        </is>
      </c>
      <c r="F2" s="5" t="inlineStr">
        <is>
          <t>Documentos</t>
        </is>
      </c>
      <c r="G2" s="5" t="inlineStr">
        <is>
          <t>GB hot</t>
        </is>
      </c>
      <c r="H2" s="5" t="inlineStr">
        <is>
          <t>GB frozen</t>
        </is>
      </c>
      <c r="I2" s="5" t="inlineStr">
        <is>
          <t>Indices</t>
        </is>
      </c>
      <c r="J2" s="5" t="inlineStr">
        <is>
          <t>Eventos/s media de vida</t>
        </is>
      </c>
      <c r="K2" s="5" t="inlineStr">
        <is>
          <t>Edad dias del indice mas antiguo</t>
        </is>
      </c>
    </row>
    <row r="3">
      <c r="A3" s="60" t="inlineStr">
        <is>
          <t>pre-k8s-cloud-applogs-tst</t>
        </is>
      </c>
      <c r="B3" s="60" t="inlineStr">
        <is>
          <t>PRE</t>
        </is>
      </c>
      <c r="C3" s="60" t="inlineStr">
        <is>
          <t>logs de aplicacion Kubernetes, Azure, tst. Patron pre-k8s-azure-applogs-tst</t>
        </is>
      </c>
      <c r="D3" s="13" t="n">
        <v>3514.4</v>
      </c>
      <c r="E3" s="13" t="n">
        <v>1.47</v>
      </c>
      <c r="F3" s="62" t="n">
        <v>1865600672</v>
      </c>
      <c r="G3" s="13" t="n">
        <v>99.542</v>
      </c>
      <c r="H3" s="13" t="n">
        <v>1304.55</v>
      </c>
      <c r="I3" s="62" t="n">
        <v>1</v>
      </c>
      <c r="J3" s="13" t="n">
        <v>1318.5</v>
      </c>
      <c r="K3" s="13" t="n">
        <v>25.74</v>
      </c>
    </row>
    <row r="4">
      <c r="A4" s="60" t="inlineStr">
        <is>
          <t>pre-k8s-onprem-applogs-tst</t>
        </is>
      </c>
      <c r="B4" s="60" t="inlineStr">
        <is>
          <t>PRE</t>
        </is>
      </c>
      <c r="C4" s="60" t="inlineStr">
        <is>
          <t>logs de aplicacion Kubernetes, on-prem, tst. Patron pre-k8s-onprem-applogs-tst</t>
        </is>
      </c>
      <c r="D4" s="13" t="n">
        <v>3998.4</v>
      </c>
      <c r="E4" s="13" t="n">
        <v>0.346</v>
      </c>
      <c r="F4" s="62" t="n">
        <v>955805221</v>
      </c>
      <c r="G4" s="13" t="n">
        <v>16.773</v>
      </c>
      <c r="H4" s="13" t="n">
        <v>75.90000000000001</v>
      </c>
      <c r="I4" s="62" t="n">
        <v>88</v>
      </c>
      <c r="J4" s="13" t="n">
        <v>731</v>
      </c>
      <c r="K4" s="13" t="n">
        <v>32.12</v>
      </c>
    </row>
    <row r="5">
      <c r="A5" s="60" t="inlineStr">
        <is>
          <t>pre-k8s-cloud-applogs</t>
        </is>
      </c>
      <c r="B5" s="60" t="inlineStr">
        <is>
          <t>PRE</t>
        </is>
      </c>
      <c r="C5" s="60" t="inlineStr">
        <is>
          <t>logs de aplicacion Kubernetes, Azure. Patron pre-k8s-azure-applogs</t>
        </is>
      </c>
      <c r="D5" s="13" t="n">
        <v>7672</v>
      </c>
      <c r="E5" s="13" t="n">
        <v>3.968</v>
      </c>
      <c r="F5" s="62" t="n">
        <v>1098204509</v>
      </c>
      <c r="G5" s="13" t="n">
        <v>90.31399999999999</v>
      </c>
      <c r="H5" s="13" t="n">
        <v>1151.7</v>
      </c>
      <c r="I5" s="62" t="n">
        <v>68</v>
      </c>
      <c r="J5" s="13" t="n">
        <v>420.5</v>
      </c>
      <c r="K5" s="13" t="n">
        <v>331.85</v>
      </c>
    </row>
    <row r="6">
      <c r="A6" s="60" t="inlineStr">
        <is>
          <t>pre-k8s-onprem-applogs-dev</t>
        </is>
      </c>
      <c r="B6" s="60" t="inlineStr">
        <is>
          <t>PRE</t>
        </is>
      </c>
      <c r="C6" s="60" t="inlineStr">
        <is>
          <t>logs de aplicacion Kubernetes, on-prem, dev. Patron pre-k8s-onprem-applogs-dev</t>
        </is>
      </c>
      <c r="D6" s="13" t="n">
        <v>1573.6</v>
      </c>
      <c r="E6" s="13" t="n">
        <v>0.282</v>
      </c>
      <c r="F6" s="62" t="n">
        <v>28209859</v>
      </c>
      <c r="G6" s="13" t="n">
        <v>71.404</v>
      </c>
      <c r="H6" s="13" t="n">
        <v>797.7</v>
      </c>
      <c r="I6" s="62" t="n">
        <v>31</v>
      </c>
      <c r="J6" s="13" t="n">
        <v>2115.5</v>
      </c>
      <c r="K6" s="13" t="n">
        <v>72.22</v>
      </c>
    </row>
    <row r="7">
      <c r="A7" s="60" t="inlineStr">
        <is>
          <t>pre-k8s-onprem-applogs</t>
        </is>
      </c>
      <c r="B7" s="60" t="inlineStr">
        <is>
          <t>PRE</t>
        </is>
      </c>
      <c r="C7" s="60" t="inlineStr">
        <is>
          <t>logs de aplicacion Kubernetes, on-prem. Patron pre-k8s-onprem-applogs</t>
        </is>
      </c>
      <c r="D7" s="13" t="n">
        <v>5446.4</v>
      </c>
      <c r="E7" s="13" t="n">
        <v>0.499</v>
      </c>
      <c r="F7" s="62" t="n">
        <v>1545602272</v>
      </c>
      <c r="G7" s="13" t="n">
        <v>68.69199999999999</v>
      </c>
      <c r="H7" s="13" t="n">
        <v>927</v>
      </c>
      <c r="I7" s="62" t="n">
        <v>2</v>
      </c>
      <c r="J7" s="13" t="n">
        <v>4361</v>
      </c>
      <c r="K7" s="13" t="n">
        <v>306.24</v>
      </c>
    </row>
    <row r="8">
      <c r="A8" s="60" t="inlineStr">
        <is>
          <t>pre-k8s-cloud-applogs-dev</t>
        </is>
      </c>
      <c r="B8" s="60" t="inlineStr">
        <is>
          <t>PRE</t>
        </is>
      </c>
      <c r="C8" s="60" t="inlineStr">
        <is>
          <t>logs de aplicacion Kubernetes, Azure, dev. Patron pre-k8s-azure-applogs-dev</t>
        </is>
      </c>
      <c r="D8" s="13" t="n">
        <v>2785.6</v>
      </c>
      <c r="E8" s="13" t="n">
        <v>1.781</v>
      </c>
      <c r="F8" s="62" t="n">
        <v>1271603642</v>
      </c>
      <c r="G8" s="13" t="n">
        <v>105.037</v>
      </c>
      <c r="H8" s="13" t="n">
        <v>1426.8</v>
      </c>
      <c r="I8" s="62" t="n">
        <v>76</v>
      </c>
      <c r="J8" s="13" t="n">
        <v>578</v>
      </c>
      <c r="K8" s="13" t="n">
        <v>75.17</v>
      </c>
    </row>
    <row r="9">
      <c r="A9" s="60" t="inlineStr">
        <is>
          <t>.ds-logs-pre-ds-core-policy</t>
        </is>
      </c>
      <c r="B9" s="60" t="inlineStr">
        <is>
          <t>PRE</t>
        </is>
      </c>
      <c r="C9" s="60" t="inlineStr">
        <is>
          <t>Data stream, policy platform. Patron .ds-logs-pre-ds-core-policy platform</t>
        </is>
      </c>
      <c r="D9" s="13" t="n">
        <v>2586.4</v>
      </c>
      <c r="E9" s="13" t="n">
        <v>2.685</v>
      </c>
      <c r="F9" s="62" t="n">
        <v>1004004980</v>
      </c>
      <c r="G9" s="13" t="n">
        <v>53.802</v>
      </c>
      <c r="H9" s="13" t="n">
        <v>1289.7</v>
      </c>
      <c r="I9" s="62" t="n">
        <v>28</v>
      </c>
      <c r="J9" s="13" t="n">
        <v>3184</v>
      </c>
      <c r="K9" s="13" t="n">
        <v>378.09</v>
      </c>
    </row>
    <row r="10">
      <c r="A10" s="60" t="inlineStr">
        <is>
          <t>pre-app-masterdata</t>
        </is>
      </c>
      <c r="B10" s="60" t="inlineStr">
        <is>
          <t>PRE</t>
        </is>
      </c>
      <c r="C10" s="60" t="inlineStr">
        <is>
          <t>MDM. Patron pre-app-masterdata</t>
        </is>
      </c>
      <c r="D10" s="13" t="n">
        <v>563.2</v>
      </c>
      <c r="E10" s="13" t="n">
        <v>3.558</v>
      </c>
      <c r="F10" s="62" t="n">
        <v>885205574</v>
      </c>
      <c r="G10" s="13" t="n">
        <v>81.339</v>
      </c>
      <c r="H10" s="13" t="n">
        <v>1173</v>
      </c>
      <c r="I10" s="62" t="n">
        <v>53</v>
      </c>
      <c r="J10" s="13" t="n">
        <v>2034</v>
      </c>
      <c r="K10" s="13" t="n">
        <v>22.91</v>
      </c>
    </row>
    <row r="11">
      <c r="A11" s="60" t="inlineStr">
        <is>
          <t>pre-app-appserver</t>
        </is>
      </c>
      <c r="B11" s="60" t="inlineStr">
        <is>
          <t>PRE</t>
        </is>
      </c>
      <c r="C11" s="60" t="inlineStr">
        <is>
          <t>Tomcat. Patron pre-app-appserver</t>
        </is>
      </c>
      <c r="D11" s="13" t="n">
        <v>2704.8</v>
      </c>
      <c r="E11" s="13" t="n">
        <v>3.08</v>
      </c>
      <c r="F11" s="62" t="n">
        <v>12409938</v>
      </c>
      <c r="G11" s="13" t="n">
        <v>71.62</v>
      </c>
      <c r="H11" s="13" t="n">
        <v>750.15</v>
      </c>
      <c r="I11" s="62" t="n">
        <v>19</v>
      </c>
      <c r="J11" s="13" t="n">
        <v>1663</v>
      </c>
      <c r="K11" s="13" t="n">
        <v>129.84</v>
      </c>
    </row>
    <row r="12">
      <c r="A12" s="60" t="inlineStr">
        <is>
          <t>pre-db-oltp-sessions</t>
        </is>
      </c>
      <c r="B12" s="60" t="inlineStr">
        <is>
          <t>PRE</t>
        </is>
      </c>
      <c r="C12" s="60" t="inlineStr">
        <is>
          <t>OLTP database. Patron pre-bbdd-OLTP database-deltasesiones</t>
        </is>
      </c>
      <c r="D12" s="13" t="n">
        <v>6570.4</v>
      </c>
      <c r="E12" s="13" t="n">
        <v>3.15</v>
      </c>
      <c r="F12" s="62" t="n">
        <v>1702201489</v>
      </c>
      <c r="G12" s="13" t="n">
        <v>77.884</v>
      </c>
      <c r="H12" s="13" t="n">
        <v>28.95</v>
      </c>
      <c r="I12" s="62" t="n">
        <v>27</v>
      </c>
      <c r="J12" s="13" t="n">
        <v>4339</v>
      </c>
      <c r="K12" s="13" t="n">
        <v>103.9</v>
      </c>
    </row>
    <row r="13">
      <c r="A13" s="60" t="inlineStr">
        <is>
          <t>pre-app-stats-engine</t>
        </is>
      </c>
      <c r="B13" s="60" t="inlineStr">
        <is>
          <t>PRE</t>
        </is>
      </c>
      <c r="C13" s="60" t="inlineStr">
        <is>
          <t>stats engine, estadisticas. Patron pre-app-stats engine-estadisticas</t>
        </is>
      </c>
      <c r="D13" s="13" t="n">
        <v>1350.4</v>
      </c>
      <c r="E13" s="13" t="n">
        <v>0.365</v>
      </c>
      <c r="F13" s="62" t="n">
        <v>438807806</v>
      </c>
      <c r="G13" s="13" t="n">
        <v>27.512</v>
      </c>
      <c r="H13" s="13" t="n">
        <v>887.7</v>
      </c>
      <c r="I13" s="62" t="n">
        <v>14</v>
      </c>
      <c r="J13" s="13" t="n">
        <v>1830</v>
      </c>
      <c r="K13" s="13" t="n">
        <v>254.33</v>
      </c>
    </row>
    <row r="14">
      <c r="A14" s="60" t="inlineStr">
        <is>
          <t>pre-app-partners</t>
        </is>
      </c>
      <c r="B14" s="60" t="inlineStr">
        <is>
          <t>PRE</t>
        </is>
      </c>
      <c r="C14" s="60" t="inlineStr">
        <is>
          <t>partners. Patron pre-app-partners</t>
        </is>
      </c>
      <c r="D14" s="13" t="n">
        <v>6998.4</v>
      </c>
      <c r="E14" s="13" t="n">
        <v>3.809</v>
      </c>
      <c r="F14" s="62" t="n">
        <v>652406738</v>
      </c>
      <c r="G14" s="13" t="n">
        <v>115.32</v>
      </c>
      <c r="H14" s="13" t="n">
        <v>65.25</v>
      </c>
      <c r="I14" s="62" t="n">
        <v>16</v>
      </c>
      <c r="J14" s="13" t="n">
        <v>90</v>
      </c>
      <c r="K14" s="13" t="n">
        <v>310.54</v>
      </c>
    </row>
    <row r="15">
      <c r="A15" s="60" t="inlineStr">
        <is>
          <t>pre-k8s-cloud-applogs-30d</t>
        </is>
      </c>
      <c r="B15" s="60" t="inlineStr">
        <is>
          <t>PRE</t>
        </is>
      </c>
      <c r="C15" s="60" t="inlineStr">
        <is>
          <t>logs de aplicacion Kubernetes, Azure. Patron pre-k8s-azure-applogs-30</t>
        </is>
      </c>
      <c r="D15" s="13" t="n">
        <v>292.8</v>
      </c>
      <c r="E15" s="13" t="n">
        <v>0.71</v>
      </c>
      <c r="F15" s="62" t="n">
        <v>782606087</v>
      </c>
      <c r="G15" s="13" t="n">
        <v>28.58</v>
      </c>
      <c r="H15" s="13" t="n">
        <v>1323.3</v>
      </c>
      <c r="I15" s="62" t="n">
        <v>14</v>
      </c>
      <c r="J15" s="13" t="n">
        <v>791</v>
      </c>
      <c r="K15" s="13" t="n">
        <v>302.44</v>
      </c>
    </row>
    <row r="16">
      <c r="A16" s="60" t="inlineStr">
        <is>
          <t>.ds-logs-logstash-pre</t>
        </is>
      </c>
      <c r="B16" s="60" t="inlineStr">
        <is>
          <t>PRE</t>
        </is>
      </c>
      <c r="C16" s="60" t="inlineStr">
        <is>
          <t>Data stream, Logstash. Patron .ds-logs-logstash-pre</t>
        </is>
      </c>
      <c r="D16" s="13" t="n">
        <v>6941.6</v>
      </c>
      <c r="E16" s="13" t="n">
        <v>0.947</v>
      </c>
      <c r="F16" s="62" t="n">
        <v>1178604107</v>
      </c>
      <c r="G16" s="13" t="n">
        <v>36.055</v>
      </c>
      <c r="H16" s="13" t="n">
        <v>1017.6</v>
      </c>
      <c r="I16" s="62" t="n">
        <v>27</v>
      </c>
      <c r="J16" s="13" t="n">
        <v>2787.5</v>
      </c>
      <c r="K16" s="13" t="n">
        <v>122.85</v>
      </c>
    </row>
    <row r="17">
      <c r="A17" s="60" t="inlineStr">
        <is>
          <t>pre-db-oltp</t>
        </is>
      </c>
      <c r="B17" s="60" t="inlineStr">
        <is>
          <t>PRE</t>
        </is>
      </c>
      <c r="C17" s="60" t="inlineStr">
        <is>
          <t>OLTP database. Patron pre-bbdd-OLTP database</t>
        </is>
      </c>
      <c r="D17" s="13" t="n">
        <v>1837.6</v>
      </c>
      <c r="E17" s="13" t="n">
        <v>2.034</v>
      </c>
      <c r="F17" s="62" t="n">
        <v>1902800486</v>
      </c>
      <c r="G17" s="13" t="n">
        <v>66.892</v>
      </c>
      <c r="H17" s="13" t="n">
        <v>1387.65</v>
      </c>
      <c r="I17" s="62" t="n">
        <v>58</v>
      </c>
      <c r="J17" s="13" t="n">
        <v>1553</v>
      </c>
      <c r="K17" s="13" t="n">
        <v>4.23</v>
      </c>
    </row>
    <row r="18">
      <c r="A18" s="60" t="inlineStr">
        <is>
          <t>pre-app-public-web</t>
        </is>
      </c>
      <c r="B18" s="60" t="inlineStr">
        <is>
          <t>PRE</t>
        </is>
      </c>
      <c r="C18" s="60" t="inlineStr">
        <is>
          <t>web publica. Patron pre-app-public-web</t>
        </is>
      </c>
      <c r="D18" s="13" t="n">
        <v>7649.6</v>
      </c>
      <c r="E18" s="13" t="n">
        <v>3.52</v>
      </c>
      <c r="F18" s="62" t="n">
        <v>1716601417</v>
      </c>
      <c r="G18" s="13" t="n">
        <v>118.92</v>
      </c>
      <c r="H18" s="13" t="n">
        <v>1180.8</v>
      </c>
      <c r="I18" s="62" t="n">
        <v>60</v>
      </c>
      <c r="J18" s="13" t="n">
        <v>1307</v>
      </c>
      <c r="K18" s="13" t="n">
        <v>278.15</v>
      </c>
    </row>
    <row r="19">
      <c r="A19" s="60" t="inlineStr">
        <is>
          <t>.ds-logs-pre-apps-ret7</t>
        </is>
      </c>
      <c r="B19" s="60" t="inlineStr">
        <is>
          <t>PRE</t>
        </is>
      </c>
      <c r="C19" s="60" t="inlineStr">
        <is>
          <t>Data stream. Patron .ds-logs-pre-apps-ret7</t>
        </is>
      </c>
      <c r="D19" s="13" t="n">
        <v>758.4</v>
      </c>
      <c r="E19" s="13" t="n">
        <v>1.378</v>
      </c>
      <c r="F19" s="62" t="n">
        <v>517807411</v>
      </c>
      <c r="G19" s="13" t="n">
        <v>99.70999999999999</v>
      </c>
      <c r="H19" s="13" t="n">
        <v>971.4</v>
      </c>
      <c r="I19" s="62" t="n">
        <v>30</v>
      </c>
      <c r="J19" s="13" t="n">
        <v>3028.5</v>
      </c>
      <c r="K19" s="13" t="n">
        <v>76.17</v>
      </c>
    </row>
    <row r="20">
      <c r="A20" s="60" t="inlineStr">
        <is>
          <t>logstash</t>
        </is>
      </c>
      <c r="B20" s="60" t="inlineStr">
        <is>
          <t>PRE</t>
        </is>
      </c>
      <c r="C20" s="60" t="inlineStr">
        <is>
          <t>Logstash. Patron logstash</t>
        </is>
      </c>
      <c r="D20" s="13" t="n">
        <v>1096.8</v>
      </c>
      <c r="E20" s="13" t="n">
        <v>0.751</v>
      </c>
      <c r="F20" s="62" t="n">
        <v>691806541</v>
      </c>
      <c r="G20" s="13" t="n">
        <v>15.273</v>
      </c>
      <c r="H20" s="13" t="n">
        <v>1264.95</v>
      </c>
      <c r="I20" s="62" t="n">
        <v>8</v>
      </c>
      <c r="J20" s="13" t="n">
        <v>1697.5</v>
      </c>
      <c r="K20" s="13" t="n">
        <v>251.13</v>
      </c>
    </row>
    <row r="21">
      <c r="A21" s="60" t="inlineStr">
        <is>
          <t>pre-network-dns</t>
        </is>
      </c>
      <c r="B21" s="60" t="inlineStr">
        <is>
          <t>PRE</t>
        </is>
      </c>
      <c r="C21" s="60" t="inlineStr">
        <is>
          <t>Familia de indices. Patron pre-network-dns</t>
        </is>
      </c>
      <c r="D21" s="13" t="n">
        <v>182.4</v>
      </c>
      <c r="E21" s="13" t="n">
        <v>0.194</v>
      </c>
      <c r="F21" s="62" t="n">
        <v>347808261</v>
      </c>
      <c r="G21" s="13" t="n">
        <v>45.258</v>
      </c>
      <c r="H21" s="13" t="n">
        <v>851.85</v>
      </c>
      <c r="I21" s="62" t="n">
        <v>74</v>
      </c>
      <c r="J21" s="13" t="n">
        <v>4046.5</v>
      </c>
      <c r="K21" s="13" t="n">
        <v>39.06</v>
      </c>
    </row>
    <row r="22">
      <c r="A22" s="60" t="inlineStr">
        <is>
          <t>pre-infra-filestats</t>
        </is>
      </c>
      <c r="B22" s="60" t="inlineStr">
        <is>
          <t>PRE</t>
        </is>
      </c>
      <c r="C22" s="60" t="inlineStr">
        <is>
          <t>NFS. Patron pre-infra-filestats</t>
        </is>
      </c>
      <c r="D22" s="13" t="n">
        <v>3460</v>
      </c>
      <c r="E22" s="13" t="n">
        <v>3.863</v>
      </c>
      <c r="F22" s="62" t="n">
        <v>72409638</v>
      </c>
      <c r="G22" s="13" t="n">
        <v>10.065</v>
      </c>
      <c r="H22" s="13" t="n">
        <v>949.65</v>
      </c>
      <c r="I22" s="62" t="n">
        <v>25</v>
      </c>
      <c r="J22" s="13" t="n">
        <v>2104</v>
      </c>
      <c r="K22" s="13" t="n">
        <v>242.55</v>
      </c>
    </row>
    <row r="23">
      <c r="A23" s="60" t="inlineStr">
        <is>
          <t>.ds-filebeat-sample</t>
        </is>
      </c>
      <c r="B23" s="60" t="inlineStr">
        <is>
          <t>PRE</t>
        </is>
      </c>
      <c r="C23" s="60" t="inlineStr">
        <is>
          <t>Data stream, Filebeat. Patron .ds-filebeat-sample</t>
        </is>
      </c>
      <c r="D23" s="13" t="n">
        <v>7904.8</v>
      </c>
      <c r="E23" s="13" t="n">
        <v>2.683</v>
      </c>
      <c r="F23" s="62" t="n">
        <v>1945800271</v>
      </c>
      <c r="G23" s="13" t="n">
        <v>80.535</v>
      </c>
      <c r="H23" s="13" t="n">
        <v>266.85</v>
      </c>
      <c r="I23" s="62" t="n">
        <v>55</v>
      </c>
      <c r="J23" s="13" t="n">
        <v>3190.5</v>
      </c>
      <c r="K23" s="13" t="n">
        <v>365.21</v>
      </c>
    </row>
    <row r="24">
      <c r="A24" s="60" t="inlineStr">
        <is>
          <t>pre-apps-dev</t>
        </is>
      </c>
      <c r="B24" s="60" t="inlineStr">
        <is>
          <t>PRE</t>
        </is>
      </c>
      <c r="C24" s="60" t="inlineStr">
        <is>
          <t>Familia de indices. Patron pre-apps-dev</t>
        </is>
      </c>
      <c r="D24" s="13" t="n">
        <v>974.4</v>
      </c>
      <c r="E24" s="13" t="n">
        <v>1.743</v>
      </c>
      <c r="F24" s="62" t="n">
        <v>429007855</v>
      </c>
      <c r="G24" s="13" t="n">
        <v>106.477</v>
      </c>
      <c r="H24" s="13" t="n">
        <v>254.25</v>
      </c>
      <c r="I24" s="62" t="n">
        <v>30</v>
      </c>
      <c r="J24" s="13" t="n">
        <v>2707.5</v>
      </c>
      <c r="K24" s="13" t="n">
        <v>313.58</v>
      </c>
    </row>
    <row r="25">
      <c r="A25" s="60" t="inlineStr">
        <is>
          <t>Other PRE below threshold</t>
        </is>
      </c>
      <c r="B25" s="60" t="inlineStr">
        <is>
          <t>PRE</t>
        </is>
      </c>
      <c r="C25" s="60" t="inlineStr">
        <is>
          <t>Suma medida de 21 familias con menos de 0,05 GB, menos de 100000 documentos y menos de 0,05 eventos/s. No es una integracion.</t>
        </is>
      </c>
      <c r="D25" s="13" t="n">
        <v>2189.6</v>
      </c>
      <c r="E25" s="13" t="n">
        <v>2.105</v>
      </c>
      <c r="F25" s="62" t="n">
        <v>565607172</v>
      </c>
      <c r="G25" s="13" t="n">
        <v>5.086</v>
      </c>
      <c r="H25" s="13" t="n">
        <v>350.55</v>
      </c>
      <c r="I25" s="62" t="n">
        <v>58</v>
      </c>
      <c r="J25" s="13" t="n">
        <v>29</v>
      </c>
      <c r="K25" s="13" t="n">
        <v>183.34</v>
      </c>
    </row>
    <row r="26">
      <c r="A26" s="60" t="inlineStr">
        <is>
          <t>.ds-metrics-fleet_server.agent_versions-default</t>
        </is>
      </c>
      <c r="B26" s="60" t="inlineStr">
        <is>
          <t>PRE</t>
        </is>
      </c>
      <c r="C26" s="60" t="inlineStr">
        <is>
          <t>Data stream, metricas, Fleet. Patron .ds-metrics-fleet_server.agent_versions-default</t>
        </is>
      </c>
      <c r="D26" s="13" t="n">
        <v>5309.6</v>
      </c>
      <c r="E26" s="13" t="n">
        <v>2.836</v>
      </c>
      <c r="F26" s="62" t="n">
        <v>224808876</v>
      </c>
      <c r="G26" s="13" t="n">
        <v>45.942</v>
      </c>
      <c r="H26" s="13" t="n">
        <v>1484.55</v>
      </c>
      <c r="I26" s="62" t="n">
        <v>69</v>
      </c>
      <c r="J26" s="13" t="n">
        <v>2792.5</v>
      </c>
      <c r="K26" s="13" t="n">
        <v>97.40000000000001</v>
      </c>
    </row>
    <row r="27">
      <c r="A27" s="60" t="inlineStr">
        <is>
          <t>.ds-metrics-fleet_server.agent_status-default</t>
        </is>
      </c>
      <c r="B27" s="60" t="inlineStr">
        <is>
          <t>PRE</t>
        </is>
      </c>
      <c r="C27" s="60" t="inlineStr">
        <is>
          <t>Data stream, metricas, Fleet. Patron .ds-metrics-fleet_server.agent_status-default</t>
        </is>
      </c>
      <c r="D27" s="13" t="n">
        <v>1028</v>
      </c>
      <c r="E27" s="13" t="n">
        <v>0.713</v>
      </c>
      <c r="F27" s="62" t="n">
        <v>806005970</v>
      </c>
      <c r="G27" s="13" t="n">
        <v>41.191</v>
      </c>
      <c r="H27" s="13" t="n">
        <v>190.35</v>
      </c>
      <c r="I27" s="62" t="n">
        <v>2</v>
      </c>
      <c r="J27" s="13" t="n">
        <v>1448</v>
      </c>
      <c r="K27" s="13" t="n">
        <v>34.72</v>
      </c>
    </row>
    <row r="28">
      <c r="A28" s="60" t="inlineStr">
        <is>
          <t>pro-k8s-cloud-applogs</t>
        </is>
      </c>
      <c r="B28" s="60" t="inlineStr">
        <is>
          <t>PRO</t>
        </is>
      </c>
      <c r="C28" s="60" t="inlineStr">
        <is>
          <t>logs de aplicacion Kubernetes, Azure. Patron pro-k8s-azure-applogs</t>
        </is>
      </c>
      <c r="D28" s="13" t="n">
        <v>3758.4</v>
      </c>
      <c r="E28" s="13" t="n">
        <v>2.741</v>
      </c>
      <c r="F28" s="62" t="n">
        <v>2729504541</v>
      </c>
      <c r="G28" s="13" t="n">
        <v>239.613</v>
      </c>
      <c r="H28" s="13" t="n">
        <v>3121.65</v>
      </c>
      <c r="I28" s="62" t="n">
        <v>140</v>
      </c>
      <c r="J28" s="13" t="n">
        <v>1304</v>
      </c>
      <c r="K28" s="13" t="n">
        <v>94.73</v>
      </c>
    </row>
    <row r="29">
      <c r="A29" s="60" t="inlineStr">
        <is>
          <t>pro-k8s-onprem-applogs</t>
        </is>
      </c>
      <c r="B29" s="60" t="inlineStr">
        <is>
          <t>PRO</t>
        </is>
      </c>
      <c r="C29" s="60" t="inlineStr">
        <is>
          <t>logs de aplicacion Kubernetes, on-prem. Patron pro-k8s-onprem-applogs</t>
        </is>
      </c>
      <c r="D29" s="13" t="n">
        <v>1323.2</v>
      </c>
      <c r="E29" s="13" t="n">
        <v>3.826</v>
      </c>
      <c r="F29" s="62" t="n">
        <v>3770002460</v>
      </c>
      <c r="G29" s="13" t="n">
        <v>243.533</v>
      </c>
      <c r="H29" s="13" t="n">
        <v>2313.45</v>
      </c>
      <c r="I29" s="62" t="n">
        <v>62</v>
      </c>
      <c r="J29" s="13" t="n">
        <v>3299.5</v>
      </c>
      <c r="K29" s="13" t="n">
        <v>328.86</v>
      </c>
    </row>
    <row r="30">
      <c r="A30" s="60" t="inlineStr">
        <is>
          <t>pro-app-stats-engine</t>
        </is>
      </c>
      <c r="B30" s="60" t="inlineStr">
        <is>
          <t>PRO</t>
        </is>
      </c>
      <c r="C30" s="60" t="inlineStr">
        <is>
          <t>stats engine, estadisticas. Patron pro-app-stats engine-estadisticas</t>
        </is>
      </c>
      <c r="D30" s="13" t="n">
        <v>6556.8</v>
      </c>
      <c r="E30" s="13" t="n">
        <v>2.606</v>
      </c>
      <c r="F30" s="62" t="n">
        <v>203009594</v>
      </c>
      <c r="G30" s="13" t="n">
        <v>48.379</v>
      </c>
      <c r="H30" s="13" t="n">
        <v>3825.9</v>
      </c>
      <c r="I30" s="62" t="n">
        <v>104</v>
      </c>
      <c r="J30" s="13" t="n">
        <v>4821.5</v>
      </c>
      <c r="K30" s="13" t="n">
        <v>95.52</v>
      </c>
    </row>
    <row r="31">
      <c r="A31" s="60" t="inlineStr">
        <is>
          <t>pro-k8s-cloud-applogs-30d</t>
        </is>
      </c>
      <c r="B31" s="60" t="inlineStr">
        <is>
          <t>PRO</t>
        </is>
      </c>
      <c r="C31" s="60" t="inlineStr">
        <is>
          <t>logs de aplicacion Kubernetes, Azure. Patron pro-k8s-azure-applogs-30</t>
        </is>
      </c>
      <c r="D31" s="13" t="n">
        <v>6011.2</v>
      </c>
      <c r="E31" s="13" t="n">
        <v>1.332</v>
      </c>
      <c r="F31" s="62" t="n">
        <v>3434003132</v>
      </c>
      <c r="G31" s="13" t="n">
        <v>87.857</v>
      </c>
      <c r="H31" s="13" t="n">
        <v>2121.3</v>
      </c>
      <c r="I31" s="62" t="n">
        <v>108</v>
      </c>
      <c r="J31" s="13" t="n">
        <v>3875.5</v>
      </c>
      <c r="K31" s="13" t="n">
        <v>99.55</v>
      </c>
    </row>
    <row r="32">
      <c r="A32" s="60" t="inlineStr">
        <is>
          <t>pro-db-oltp-joblogs</t>
        </is>
      </c>
      <c r="B32" s="60" t="inlineStr">
        <is>
          <t>PRO</t>
        </is>
      </c>
      <c r="C32" s="60" t="inlineStr">
        <is>
          <t>OLTP database. Patron pro-bbdd-OLTP database-logproejec</t>
        </is>
      </c>
      <c r="D32" s="13" t="n">
        <v>1380</v>
      </c>
      <c r="E32" s="13" t="n">
        <v>3.927</v>
      </c>
      <c r="F32" s="62" t="n">
        <v>1190007620</v>
      </c>
      <c r="G32" s="13" t="n">
        <v>49.429</v>
      </c>
      <c r="H32" s="13" t="n">
        <v>1345.95</v>
      </c>
      <c r="I32" s="62" t="n">
        <v>12</v>
      </c>
      <c r="J32" s="13" t="n">
        <v>1057.5</v>
      </c>
      <c r="K32" s="13" t="n">
        <v>303.8</v>
      </c>
    </row>
    <row r="33">
      <c r="A33" s="60" t="inlineStr">
        <is>
          <t>metricbeat</t>
        </is>
      </c>
      <c r="B33" s="60" t="inlineStr">
        <is>
          <t>PRO</t>
        </is>
      </c>
      <c r="C33" s="60" t="inlineStr">
        <is>
          <t>Metricbeat. Patron metricbeat</t>
        </is>
      </c>
      <c r="D33" s="13" t="n">
        <v>5126.4</v>
      </c>
      <c r="E33" s="13" t="n">
        <v>2.608</v>
      </c>
      <c r="F33" s="62" t="n">
        <v>2593504813</v>
      </c>
      <c r="G33" s="13" t="n">
        <v>24.404</v>
      </c>
      <c r="H33" s="13" t="n">
        <v>88.65000000000001</v>
      </c>
      <c r="I33" s="62" t="n">
        <v>147</v>
      </c>
      <c r="J33" s="13" t="n">
        <v>2400.5</v>
      </c>
      <c r="K33" s="13" t="n">
        <v>325.67</v>
      </c>
    </row>
    <row r="34">
      <c r="A34" s="60" t="inlineStr">
        <is>
          <t>pro-db-oltp</t>
        </is>
      </c>
      <c r="B34" s="60" t="inlineStr">
        <is>
          <t>PRO</t>
        </is>
      </c>
      <c r="C34" s="60" t="inlineStr">
        <is>
          <t>OLTP database. Patron pro-bbdd-OLTP database</t>
        </is>
      </c>
      <c r="D34" s="13" t="n">
        <v>104.8</v>
      </c>
      <c r="E34" s="13" t="n">
        <v>0.312</v>
      </c>
      <c r="F34" s="62" t="n">
        <v>4180001640</v>
      </c>
      <c r="G34" s="13" t="n">
        <v>111.412</v>
      </c>
      <c r="H34" s="13" t="n">
        <v>1861.2</v>
      </c>
      <c r="I34" s="62" t="n">
        <v>151</v>
      </c>
      <c r="J34" s="13" t="n">
        <v>2768.5</v>
      </c>
      <c r="K34" s="13" t="n">
        <v>93.29000000000001</v>
      </c>
    </row>
    <row r="35">
      <c r="A35" s="60" t="inlineStr">
        <is>
          <t>pro-app-appserver</t>
        </is>
      </c>
      <c r="B35" s="60" t="inlineStr">
        <is>
          <t>PRO</t>
        </is>
      </c>
      <c r="C35" s="60" t="inlineStr">
        <is>
          <t>Tomcat. Patron pro-app-appserver</t>
        </is>
      </c>
      <c r="D35" s="13" t="n">
        <v>4104.8</v>
      </c>
      <c r="E35" s="13" t="n">
        <v>1.868</v>
      </c>
      <c r="F35" s="62" t="n">
        <v>2957504085</v>
      </c>
      <c r="G35" s="13" t="n">
        <v>160.025</v>
      </c>
      <c r="H35" s="13" t="n">
        <v>416.7</v>
      </c>
      <c r="I35" s="62" t="n">
        <v>151</v>
      </c>
      <c r="J35" s="13" t="n">
        <v>2158.5</v>
      </c>
      <c r="K35" s="13" t="n">
        <v>217.94</v>
      </c>
    </row>
    <row r="36">
      <c r="A36" s="60" t="inlineStr">
        <is>
          <t>pro-db-oltp-sessions</t>
        </is>
      </c>
      <c r="B36" s="60" t="inlineStr">
        <is>
          <t>PRO</t>
        </is>
      </c>
      <c r="C36" s="60" t="inlineStr">
        <is>
          <t>OLTP database. Patron pro-bbdd-OLTP database-deltasesiones</t>
        </is>
      </c>
      <c r="D36" s="13" t="n">
        <v>7263.2</v>
      </c>
      <c r="E36" s="13" t="n">
        <v>1.472</v>
      </c>
      <c r="F36" s="62" t="n">
        <v>1663506673</v>
      </c>
      <c r="G36" s="13" t="n">
        <v>18.839</v>
      </c>
      <c r="H36" s="13" t="n">
        <v>4231.8</v>
      </c>
      <c r="I36" s="62" t="n">
        <v>159</v>
      </c>
      <c r="J36" s="13" t="n">
        <v>1925.5</v>
      </c>
      <c r="K36" s="13" t="n">
        <v>318.92</v>
      </c>
    </row>
    <row r="37">
      <c r="A37" s="60" t="inlineStr">
        <is>
          <t>pro-app-public-web</t>
        </is>
      </c>
      <c r="B37" s="60" t="inlineStr">
        <is>
          <t>PRO</t>
        </is>
      </c>
      <c r="C37" s="60" t="inlineStr">
        <is>
          <t>web publica. Patron pro-app-public-web</t>
        </is>
      </c>
      <c r="D37" s="13" t="n">
        <v>2711.2</v>
      </c>
      <c r="E37" s="13" t="n">
        <v>1.887</v>
      </c>
      <c r="F37" s="62" t="n">
        <v>2637504725</v>
      </c>
      <c r="G37" s="13" t="n">
        <v>341.67</v>
      </c>
      <c r="H37" s="13" t="n">
        <v>1539.45</v>
      </c>
      <c r="I37" s="62" t="n">
        <v>155</v>
      </c>
      <c r="J37" s="13" t="n">
        <v>4694.5</v>
      </c>
      <c r="K37" s="13" t="n">
        <v>179.75</v>
      </c>
    </row>
    <row r="38">
      <c r="A38" s="60" t="inlineStr">
        <is>
          <t>agr-pro-db-oltp-sessions-1h</t>
        </is>
      </c>
      <c r="B38" s="60" t="inlineStr">
        <is>
          <t>PRO</t>
        </is>
      </c>
      <c r="C38" s="60" t="inlineStr">
        <is>
          <t>OLTP database. Patron agr-pro-bbdd-OLTP database-deltasesiones-online-1h</t>
        </is>
      </c>
      <c r="D38" s="13" t="n">
        <v>954.4</v>
      </c>
      <c r="E38" s="13" t="n">
        <v>3.806</v>
      </c>
      <c r="F38" s="62" t="n">
        <v>2651004698</v>
      </c>
      <c r="G38" s="13" t="n">
        <v>241.363</v>
      </c>
      <c r="H38" s="13" t="n">
        <v>522.9</v>
      </c>
      <c r="I38" s="62" t="n">
        <v>41</v>
      </c>
      <c r="J38" s="13" t="n">
        <v>3468.5</v>
      </c>
      <c r="K38" s="13" t="n">
        <v>288.48</v>
      </c>
    </row>
    <row r="39">
      <c r="A39" s="60" t="inlineStr">
        <is>
          <t>agr-pro-app-stats-engine-1h</t>
        </is>
      </c>
      <c r="B39" s="60" t="inlineStr">
        <is>
          <t>PRO</t>
        </is>
      </c>
      <c r="C39" s="60" t="inlineStr">
        <is>
          <t>stats engine, estadisticas. Patron agr-pro-app-stats engine-estadisticas-online-1h</t>
        </is>
      </c>
      <c r="D39" s="13" t="n">
        <v>5364.8</v>
      </c>
      <c r="E39" s="13" t="n">
        <v>2.81</v>
      </c>
      <c r="F39" s="62" t="n">
        <v>4968000064</v>
      </c>
      <c r="G39" s="13" t="n">
        <v>106.092</v>
      </c>
      <c r="H39" s="13" t="n">
        <v>3390.75</v>
      </c>
      <c r="I39" s="62" t="n">
        <v>149</v>
      </c>
      <c r="J39" s="13" t="n">
        <v>2121.5</v>
      </c>
      <c r="K39" s="13" t="n">
        <v>33.76</v>
      </c>
    </row>
    <row r="40">
      <c r="A40" s="60" t="inlineStr">
        <is>
          <t>pro-infra-filestats</t>
        </is>
      </c>
      <c r="B40" s="60" t="inlineStr">
        <is>
          <t>PRO</t>
        </is>
      </c>
      <c r="C40" s="60" t="inlineStr">
        <is>
          <t>NFS. Patron pro-infra-filestats</t>
        </is>
      </c>
      <c r="D40" s="13" t="n">
        <v>2036</v>
      </c>
      <c r="E40" s="13" t="n">
        <v>1.952</v>
      </c>
      <c r="F40" s="62" t="n">
        <v>76509847</v>
      </c>
      <c r="G40" s="13" t="n">
        <v>33.889</v>
      </c>
      <c r="H40" s="13" t="n">
        <v>596.7</v>
      </c>
      <c r="I40" s="62" t="n">
        <v>58</v>
      </c>
      <c r="J40" s="13" t="n">
        <v>3642.5</v>
      </c>
      <c r="K40" s="13" t="n">
        <v>259.67</v>
      </c>
    </row>
    <row r="41">
      <c r="A41" s="60" t="inlineStr">
        <is>
          <t>.ds-logs-pro-ds-core-policy</t>
        </is>
      </c>
      <c r="B41" s="60" t="inlineStr">
        <is>
          <t>PRO</t>
        </is>
      </c>
      <c r="C41" s="60" t="inlineStr">
        <is>
          <t>Data stream, policy platform. Patron .ds-logs-pro-ds-core-policy platform</t>
        </is>
      </c>
      <c r="D41" s="13" t="n">
        <v>8.800000000000001</v>
      </c>
      <c r="E41" s="13" t="n">
        <v>1.44</v>
      </c>
      <c r="F41" s="62" t="n">
        <v>1279007442</v>
      </c>
      <c r="G41" s="13" t="n">
        <v>323.541</v>
      </c>
      <c r="H41" s="13" t="n">
        <v>1102.95</v>
      </c>
      <c r="I41" s="62" t="n">
        <v>123</v>
      </c>
      <c r="J41" s="13" t="n">
        <v>4037.5</v>
      </c>
      <c r="K41" s="13" t="n">
        <v>210.08</v>
      </c>
    </row>
    <row r="42">
      <c r="A42" s="60" t="inlineStr">
        <is>
          <t>pro-network-loadbalancer</t>
        </is>
      </c>
      <c r="B42" s="60" t="inlineStr">
        <is>
          <t>PRO</t>
        </is>
      </c>
      <c r="C42" s="60" t="inlineStr">
        <is>
          <t>balanceador. Patron pro-network-loadbalancer</t>
        </is>
      </c>
      <c r="D42" s="13" t="n">
        <v>7953.6</v>
      </c>
      <c r="E42" s="13" t="n">
        <v>1.372</v>
      </c>
      <c r="F42" s="62" t="n">
        <v>4724500551</v>
      </c>
      <c r="G42" s="13" t="n">
        <v>243.603</v>
      </c>
      <c r="H42" s="13" t="n">
        <v>4331.25</v>
      </c>
      <c r="I42" s="62" t="n">
        <v>92</v>
      </c>
      <c r="J42" s="13" t="n">
        <v>3821</v>
      </c>
      <c r="K42" s="13" t="n">
        <v>97.84</v>
      </c>
    </row>
    <row r="43">
      <c r="A43" s="60" t="inlineStr">
        <is>
          <t>pro-app-httpd</t>
        </is>
      </c>
      <c r="B43" s="60" t="inlineStr">
        <is>
          <t>PRO</t>
        </is>
      </c>
      <c r="C43" s="60" t="inlineStr">
        <is>
          <t>HTTP. Patron pro-app-httpd</t>
        </is>
      </c>
      <c r="D43" s="13" t="n">
        <v>5842.4</v>
      </c>
      <c r="E43" s="13" t="n">
        <v>1.412</v>
      </c>
      <c r="F43" s="62" t="n">
        <v>4255001490</v>
      </c>
      <c r="G43" s="13" t="n">
        <v>28.814</v>
      </c>
      <c r="H43" s="13" t="n">
        <v>4148.55</v>
      </c>
      <c r="I43" s="62" t="n">
        <v>96</v>
      </c>
      <c r="J43" s="13" t="n">
        <v>2677</v>
      </c>
      <c r="K43" s="13" t="n">
        <v>343.78</v>
      </c>
    </row>
    <row r="44">
      <c r="A44" s="60" t="inlineStr">
        <is>
          <t>pro-k8s-onprem-applogs-sso</t>
        </is>
      </c>
      <c r="B44" s="60" t="inlineStr">
        <is>
          <t>PRO</t>
        </is>
      </c>
      <c r="C44" s="60" t="inlineStr">
        <is>
          <t>logs de aplicacion Kubernetes, on-prem. Patron pro-k8s-onprem-applogs-sso</t>
        </is>
      </c>
      <c r="D44" s="13" t="n">
        <v>305.6</v>
      </c>
      <c r="E44" s="13" t="n">
        <v>3.882</v>
      </c>
      <c r="F44" s="62" t="n">
        <v>1329007342</v>
      </c>
      <c r="G44" s="13" t="n">
        <v>177.91</v>
      </c>
      <c r="H44" s="13" t="n">
        <v>129.6</v>
      </c>
      <c r="I44" s="62" t="n">
        <v>80</v>
      </c>
      <c r="J44" s="13" t="n">
        <v>1668.5</v>
      </c>
      <c r="K44" s="13" t="n">
        <v>228.23</v>
      </c>
    </row>
    <row r="45">
      <c r="A45" s="60" t="inlineStr">
        <is>
          <t>pro-batch-scheduler-status</t>
        </is>
      </c>
      <c r="B45" s="60" t="inlineStr">
        <is>
          <t>PRO</t>
        </is>
      </c>
      <c r="C45" s="60" t="inlineStr">
        <is>
          <t>batch scheduler. Patron pro-batch-scheduler-status</t>
        </is>
      </c>
      <c r="D45" s="13" t="n">
        <v>5578.4</v>
      </c>
      <c r="E45" s="13" t="n">
        <v>0.604</v>
      </c>
      <c r="F45" s="62" t="n">
        <v>4644500711</v>
      </c>
      <c r="G45" s="13" t="n">
        <v>299.566</v>
      </c>
      <c r="H45" s="13" t="n">
        <v>4276.35</v>
      </c>
      <c r="I45" s="62" t="n">
        <v>70</v>
      </c>
      <c r="J45" s="13" t="n">
        <v>2243.5</v>
      </c>
      <c r="K45" s="13" t="n">
        <v>209.88</v>
      </c>
    </row>
    <row r="46">
      <c r="A46" s="60" t="inlineStr">
        <is>
          <t>pro-batch-scheduler-running</t>
        </is>
      </c>
      <c r="B46" s="60" t="inlineStr">
        <is>
          <t>PRO</t>
        </is>
      </c>
      <c r="C46" s="60" t="inlineStr">
        <is>
          <t>batch scheduler. Patron pro-batch-scheduler-running</t>
        </is>
      </c>
      <c r="D46" s="13" t="n">
        <v>1005.6</v>
      </c>
      <c r="E46" s="13" t="n">
        <v>2.605</v>
      </c>
      <c r="F46" s="62" t="n">
        <v>2425505149</v>
      </c>
      <c r="G46" s="13" t="n">
        <v>324.731</v>
      </c>
      <c r="H46" s="13" t="n">
        <v>382.05</v>
      </c>
      <c r="I46" s="62" t="n">
        <v>193</v>
      </c>
      <c r="J46" s="13" t="n">
        <v>2565.5</v>
      </c>
      <c r="K46" s="13" t="n">
        <v>188.45</v>
      </c>
    </row>
    <row r="47">
      <c r="A47" s="60" t="inlineStr">
        <is>
          <t>pro-infra-webcheck</t>
        </is>
      </c>
      <c r="B47" s="60" t="inlineStr">
        <is>
          <t>PRO</t>
        </is>
      </c>
      <c r="C47" s="60" t="inlineStr">
        <is>
          <t>checks. Patron pro-infra-webcheck</t>
        </is>
      </c>
      <c r="D47" s="13" t="n">
        <v>6803.2</v>
      </c>
      <c r="E47" s="13" t="n">
        <v>3.706</v>
      </c>
      <c r="F47" s="62" t="n">
        <v>1728506543</v>
      </c>
      <c r="G47" s="13" t="n">
        <v>96.152</v>
      </c>
      <c r="H47" s="13" t="n">
        <v>4340.7</v>
      </c>
      <c r="I47" s="62" t="n">
        <v>68</v>
      </c>
      <c r="J47" s="13" t="n">
        <v>1165.5</v>
      </c>
      <c r="K47" s="13" t="n">
        <v>389.59</v>
      </c>
    </row>
    <row r="48">
      <c r="A48" s="60" t="inlineStr">
        <is>
          <t>pro-apps-dev</t>
        </is>
      </c>
      <c r="B48" s="60" t="inlineStr">
        <is>
          <t>PRO</t>
        </is>
      </c>
      <c r="C48" s="60" t="inlineStr">
        <is>
          <t>Familia de indices. Patron pro-apps-dev</t>
        </is>
      </c>
      <c r="D48" s="13" t="n">
        <v>5276</v>
      </c>
      <c r="E48" s="13" t="n">
        <v>3.598</v>
      </c>
      <c r="F48" s="62" t="n">
        <v>2730004540</v>
      </c>
      <c r="G48" s="13" t="n">
        <v>17.3</v>
      </c>
      <c r="H48" s="13" t="n">
        <v>3396.15</v>
      </c>
      <c r="I48" s="62" t="n">
        <v>82</v>
      </c>
      <c r="J48" s="13" t="n">
        <v>2505</v>
      </c>
      <c r="K48" s="13" t="n">
        <v>307.15</v>
      </c>
    </row>
    <row r="49">
      <c r="A49" s="60" t="inlineStr">
        <is>
          <t>pro-app-test-db</t>
        </is>
      </c>
      <c r="B49" s="60" t="inlineStr">
        <is>
          <t>PRO</t>
        </is>
      </c>
      <c r="C49" s="60" t="inlineStr">
        <is>
          <t>Familia de indices. Patron pro-app-test-db</t>
        </is>
      </c>
      <c r="D49" s="13" t="n">
        <v>5209.6</v>
      </c>
      <c r="E49" s="13" t="n">
        <v>2.27</v>
      </c>
      <c r="F49" s="62" t="n">
        <v>4152501695</v>
      </c>
      <c r="G49" s="13" t="n">
        <v>33.259</v>
      </c>
      <c r="H49" s="13" t="n">
        <v>1593.45</v>
      </c>
      <c r="I49" s="62" t="n">
        <v>167</v>
      </c>
      <c r="J49" s="13" t="n">
        <v>3517.5</v>
      </c>
      <c r="K49" s="13" t="n">
        <v>52.27</v>
      </c>
    </row>
    <row r="50">
      <c r="A50" s="60" t="inlineStr">
        <is>
          <t>pro-db-oltp-memory</t>
        </is>
      </c>
      <c r="B50" s="60" t="inlineStr">
        <is>
          <t>PRO</t>
        </is>
      </c>
      <c r="C50" s="60" t="inlineStr">
        <is>
          <t>OLTP database. Patron pro-bbdd-OLTP database-memoria</t>
        </is>
      </c>
      <c r="D50" s="13" t="n">
        <v>1996.8</v>
      </c>
      <c r="E50" s="13" t="n">
        <v>3.374</v>
      </c>
      <c r="F50" s="62" t="n">
        <v>4204501591</v>
      </c>
      <c r="G50" s="13" t="n">
        <v>166.955</v>
      </c>
      <c r="H50" s="13" t="n">
        <v>1432.35</v>
      </c>
      <c r="I50" s="62" t="n">
        <v>108</v>
      </c>
      <c r="J50" s="13" t="n">
        <v>3787</v>
      </c>
      <c r="K50" s="13" t="n">
        <v>295.42</v>
      </c>
    </row>
    <row r="51">
      <c r="A51" s="60" t="inlineStr">
        <is>
          <t>pro-db-oltp-lockwaits</t>
        </is>
      </c>
      <c r="B51" s="60" t="inlineStr">
        <is>
          <t>PRO</t>
        </is>
      </c>
      <c r="C51" s="60" t="inlineStr">
        <is>
          <t>OLTP database. Patron pro-bbdd-OLTP database-lockwaits</t>
        </is>
      </c>
      <c r="D51" s="13" t="n">
        <v>7277.6</v>
      </c>
      <c r="E51" s="13" t="n">
        <v>0.466</v>
      </c>
      <c r="F51" s="62" t="n">
        <v>1981006038</v>
      </c>
      <c r="G51" s="13" t="n">
        <v>39.594</v>
      </c>
      <c r="H51" s="13" t="n">
        <v>1105.2</v>
      </c>
      <c r="I51" s="62" t="n">
        <v>158</v>
      </c>
      <c r="J51" s="13" t="n">
        <v>4615</v>
      </c>
      <c r="K51" s="13" t="n">
        <v>319.4</v>
      </c>
    </row>
    <row r="52">
      <c r="A52" s="60" t="inlineStr">
        <is>
          <t>pro-network-switches</t>
        </is>
      </c>
      <c r="B52" s="60" t="inlineStr">
        <is>
          <t>PRO</t>
        </is>
      </c>
      <c r="C52" s="60" t="inlineStr">
        <is>
          <t>Familia de indices. Patron pro-network-switches</t>
        </is>
      </c>
      <c r="D52" s="13" t="n">
        <v>2217.6</v>
      </c>
      <c r="E52" s="13" t="n">
        <v>1.708</v>
      </c>
      <c r="F52" s="62" t="n">
        <v>4686500627</v>
      </c>
      <c r="G52" s="13" t="n">
        <v>52.683</v>
      </c>
      <c r="H52" s="13" t="n">
        <v>3878.55</v>
      </c>
      <c r="I52" s="62" t="n">
        <v>199</v>
      </c>
      <c r="J52" s="13" t="n">
        <v>1932</v>
      </c>
      <c r="K52" s="13" t="n">
        <v>384.52</v>
      </c>
    </row>
    <row r="53">
      <c r="A53" s="60" t="inlineStr">
        <is>
          <t>.ds-logs-elastic_agent.fleet_server-default</t>
        </is>
      </c>
      <c r="B53" s="60" t="inlineStr">
        <is>
          <t>PRO</t>
        </is>
      </c>
      <c r="C53" s="60" t="inlineStr">
        <is>
          <t>Data stream, Fleet. Patron .ds-logs-elastic_agent.fleet_server-default</t>
        </is>
      </c>
      <c r="D53" s="13" t="n">
        <v>3065.6</v>
      </c>
      <c r="E53" s="13" t="n">
        <v>1.98</v>
      </c>
      <c r="F53" s="62" t="n">
        <v>267009466</v>
      </c>
      <c r="G53" s="13" t="n">
        <v>226.979</v>
      </c>
      <c r="H53" s="13" t="n">
        <v>507.6</v>
      </c>
      <c r="I53" s="62" t="n">
        <v>51</v>
      </c>
      <c r="J53" s="13" t="n">
        <v>4647.5</v>
      </c>
      <c r="K53" s="13" t="n">
        <v>249.22</v>
      </c>
    </row>
    <row r="54">
      <c r="A54" s="60" t="inlineStr">
        <is>
          <t>Other PRO below threshold</t>
        </is>
      </c>
      <c r="B54" s="60" t="inlineStr">
        <is>
          <t>PRO</t>
        </is>
      </c>
      <c r="C54" s="60" t="inlineStr">
        <is>
          <t>Suma medida de 65 familias con menos de 0,05 GB, menos de 100000 documentos y menos de 0,05 eventos/s. No es una integracion.</t>
        </is>
      </c>
      <c r="D54" s="13" t="n">
        <v>108</v>
      </c>
      <c r="E54" s="13" t="n">
        <v>3.414</v>
      </c>
      <c r="F54" s="62" t="n">
        <v>3566502867</v>
      </c>
      <c r="G54" s="13" t="n">
        <v>284.412</v>
      </c>
      <c r="H54" s="13" t="n">
        <v>3164.85</v>
      </c>
      <c r="I54" s="62" t="n">
        <v>12</v>
      </c>
      <c r="J54" s="13" t="n">
        <v>4485</v>
      </c>
      <c r="K54" s="13" t="n">
        <v>210.16</v>
      </c>
    </row>
    <row r="55">
      <c r="A55" s="60" t="inlineStr">
        <is>
          <t>pro-network-dns</t>
        </is>
      </c>
      <c r="B55" s="60" t="inlineStr">
        <is>
          <t>PRO</t>
        </is>
      </c>
      <c r="C55" s="60" t="inlineStr">
        <is>
          <t>Familia de indices. Patron pro-network-dns</t>
        </is>
      </c>
      <c r="D55" s="13" t="n">
        <v>6693.6</v>
      </c>
      <c r="E55" s="13" t="n">
        <v>0.52</v>
      </c>
      <c r="F55" s="62" t="n">
        <v>3050003900</v>
      </c>
      <c r="G55" s="13" t="n">
        <v>137.626</v>
      </c>
      <c r="H55" s="13" t="n">
        <v>374.85</v>
      </c>
      <c r="I55" s="62" t="n">
        <v>63</v>
      </c>
      <c r="J55" s="13" t="n">
        <v>3353</v>
      </c>
      <c r="K55" s="13" t="n">
        <v>66.12</v>
      </c>
    </row>
    <row r="56">
      <c r="A56" s="60" t="inlineStr">
        <is>
          <t>logstash</t>
        </is>
      </c>
      <c r="B56" s="60" t="inlineStr">
        <is>
          <t>PRO</t>
        </is>
      </c>
      <c r="C56" s="60" t="inlineStr">
        <is>
          <t>Logstash. Patron logstash</t>
        </is>
      </c>
      <c r="D56" s="13" t="n">
        <v>1096.8</v>
      </c>
      <c r="E56" s="13" t="n">
        <v>0.751</v>
      </c>
      <c r="F56" s="62" t="n">
        <v>1729506541</v>
      </c>
      <c r="G56" s="13" t="n">
        <v>44.529</v>
      </c>
      <c r="H56" s="13" t="n">
        <v>3794.85</v>
      </c>
      <c r="I56" s="62" t="n">
        <v>17</v>
      </c>
      <c r="J56" s="13" t="n">
        <v>1697.5</v>
      </c>
      <c r="K56" s="13" t="n">
        <v>251.13</v>
      </c>
    </row>
    <row r="57">
      <c r="A57" s="60" t="inlineStr">
        <is>
          <t>.ds-logs-system.syslog-default</t>
        </is>
      </c>
      <c r="B57" s="60" t="inlineStr">
        <is>
          <t>PRO</t>
        </is>
      </c>
      <c r="C57" s="60" t="inlineStr">
        <is>
          <t>Data stream. Patron .ds-logs-system.syslog-default</t>
        </is>
      </c>
      <c r="D57" s="13" t="n">
        <v>2635.2</v>
      </c>
      <c r="E57" s="13" t="n">
        <v>0.367</v>
      </c>
      <c r="F57" s="62" t="n">
        <v>3983502033</v>
      </c>
      <c r="G57" s="13" t="n">
        <v>328.651</v>
      </c>
      <c r="H57" s="13" t="n">
        <v>4302</v>
      </c>
      <c r="I57" s="62" t="n">
        <v>189</v>
      </c>
      <c r="J57" s="13" t="n">
        <v>3714.5</v>
      </c>
      <c r="K57" s="13" t="n">
        <v>269.45</v>
      </c>
    </row>
    <row r="58">
      <c r="A58" s="60" t="inlineStr">
        <is>
          <t>.internal.alerts-observability.metrics.alerts-default</t>
        </is>
      </c>
      <c r="B58" s="60" t="inlineStr">
        <is>
          <t>PRO</t>
        </is>
      </c>
      <c r="C58" s="60" t="inlineStr">
        <is>
          <t>Indice interno de Elastic. Patron .internal.alerts-observability.metrics.alerts-default</t>
        </is>
      </c>
      <c r="D58" s="13" t="n">
        <v>5660</v>
      </c>
      <c r="E58" s="13" t="n">
        <v>2.461</v>
      </c>
      <c r="F58" s="62" t="n">
        <v>378509243</v>
      </c>
      <c r="G58" s="13" t="n">
        <v>112.112</v>
      </c>
      <c r="H58" s="13" t="n">
        <v>3287.7</v>
      </c>
      <c r="I58" s="62" t="n">
        <v>36</v>
      </c>
      <c r="J58" s="13" t="n">
        <v>4815.5</v>
      </c>
      <c r="K58" s="13" t="n">
        <v>206.33</v>
      </c>
    </row>
    <row r="59">
      <c r="A59" s="60" t="inlineStr">
        <is>
          <t>pro-app-partners</t>
        </is>
      </c>
      <c r="B59" s="60" t="inlineStr">
        <is>
          <t>PRO</t>
        </is>
      </c>
      <c r="C59" s="60" t="inlineStr">
        <is>
          <t>partners. Patron pro-app-partners</t>
        </is>
      </c>
      <c r="D59" s="13" t="n">
        <v>1821.6</v>
      </c>
      <c r="E59" s="13" t="n">
        <v>2.529</v>
      </c>
      <c r="F59" s="62" t="n">
        <v>2638004724</v>
      </c>
      <c r="G59" s="13" t="n">
        <v>96.607</v>
      </c>
      <c r="H59" s="13" t="n">
        <v>3992.4</v>
      </c>
      <c r="I59" s="62" t="n">
        <v>85</v>
      </c>
      <c r="J59" s="13" t="n">
        <v>2019.5</v>
      </c>
      <c r="K59" s="13" t="n">
        <v>332.53</v>
      </c>
    </row>
    <row r="60">
      <c r="A60" s="60" t="inlineStr">
        <is>
          <t>.ds-logs-elastic_agent.filebeat-default</t>
        </is>
      </c>
      <c r="B60" s="60" t="inlineStr">
        <is>
          <t>PRO</t>
        </is>
      </c>
      <c r="C60" s="60" t="inlineStr">
        <is>
          <t>Data stream, Filebeat. Patron .ds-logs-elastic_agent.filebeat-default</t>
        </is>
      </c>
      <c r="D60" s="13" t="n">
        <v>2135.2</v>
      </c>
      <c r="E60" s="13" t="n">
        <v>2.921</v>
      </c>
      <c r="F60" s="62" t="n">
        <v>4480001040</v>
      </c>
      <c r="G60" s="13" t="n">
        <v>136.436</v>
      </c>
      <c r="H60" s="13" t="n">
        <v>4360.05</v>
      </c>
      <c r="I60" s="62" t="n">
        <v>47</v>
      </c>
      <c r="J60" s="13" t="n">
        <v>4979.5</v>
      </c>
      <c r="K60" s="13" t="n">
        <v>156.81</v>
      </c>
    </row>
    <row r="61">
      <c r="A61" s="60" t="inlineStr">
        <is>
          <t>.ds-logs-elastic_agent.metricbeat-default</t>
        </is>
      </c>
      <c r="B61" s="60" t="inlineStr">
        <is>
          <t>PRO</t>
        </is>
      </c>
      <c r="C61" s="60" t="inlineStr">
        <is>
          <t>Data stream, Metricbeat. Patron .ds-logs-elastic_agent.metricbeat-default</t>
        </is>
      </c>
      <c r="D61" s="13" t="n">
        <v>6855.2</v>
      </c>
      <c r="E61" s="13" t="n">
        <v>3.041</v>
      </c>
      <c r="F61" s="62" t="n">
        <v>657008686</v>
      </c>
      <c r="G61" s="13" t="n">
        <v>172.625</v>
      </c>
      <c r="H61" s="13" t="n">
        <v>3449.7</v>
      </c>
      <c r="I61" s="62" t="n">
        <v>108</v>
      </c>
      <c r="J61" s="13" t="n">
        <v>1859.5</v>
      </c>
      <c r="K61" s="13" t="n">
        <v>185.78</v>
      </c>
    </row>
    <row r="62">
      <c r="A62" s="60" t="inlineStr">
        <is>
          <t>.ds-logs-elastic_agent.heartbeat-default</t>
        </is>
      </c>
      <c r="B62" s="60" t="inlineStr">
        <is>
          <t>PRO</t>
        </is>
      </c>
      <c r="C62" s="60" t="inlineStr">
        <is>
          <t>Data stream, checks. Patron .ds-logs-elastic_agent.heartbeat-default</t>
        </is>
      </c>
      <c r="D62" s="13" t="n">
        <v>7852</v>
      </c>
      <c r="E62" s="13" t="n">
        <v>0.963</v>
      </c>
      <c r="F62" s="62" t="n">
        <v>1981006038</v>
      </c>
      <c r="G62" s="13" t="n">
        <v>109.382</v>
      </c>
      <c r="H62" s="13" t="n">
        <v>1420.65</v>
      </c>
      <c r="I62" s="62" t="n">
        <v>12</v>
      </c>
      <c r="J62" s="13" t="n">
        <v>4150</v>
      </c>
      <c r="K62" s="13" t="n">
        <v>302.01</v>
      </c>
    </row>
    <row r="63">
      <c r="A63" s="60" t="inlineStr">
        <is>
          <t>.ds-metrics-fleet_server.agent_versions-default</t>
        </is>
      </c>
      <c r="B63" s="60" t="inlineStr">
        <is>
          <t>PRO</t>
        </is>
      </c>
      <c r="C63" s="60" t="inlineStr">
        <is>
          <t>Data stream, metricas, Fleet. Patron .ds-metrics-fleet_server.agent_versions-default</t>
        </is>
      </c>
      <c r="D63" s="13" t="n">
        <v>5309.6</v>
      </c>
      <c r="E63" s="13" t="n">
        <v>2.836</v>
      </c>
      <c r="F63" s="62" t="n">
        <v>562008876</v>
      </c>
      <c r="G63" s="13" t="n">
        <v>133.986</v>
      </c>
      <c r="H63" s="13" t="n">
        <v>4453.65</v>
      </c>
      <c r="I63" s="62" t="n">
        <v>153</v>
      </c>
      <c r="J63" s="13" t="n">
        <v>2792.5</v>
      </c>
      <c r="K63" s="13" t="n">
        <v>97.40000000000001</v>
      </c>
    </row>
    <row r="64">
      <c r="A64" s="60" t="inlineStr">
        <is>
          <t>.ds-.monitoring-es-sample</t>
        </is>
      </c>
      <c r="B64" s="60" t="inlineStr">
        <is>
          <t>MON</t>
        </is>
      </c>
      <c r="C64" s="60" t="inlineStr">
        <is>
          <t>Stack monitoring, Data stream. Patron .ds-.monitoring-es-sample</t>
        </is>
      </c>
      <c r="D64" s="13" t="n">
        <v>44.12</v>
      </c>
      <c r="E64" s="13" t="n">
        <v>3.134</v>
      </c>
      <c r="F64" s="62" t="n">
        <v>367608162</v>
      </c>
      <c r="G64" s="13" t="n">
        <v>8.58</v>
      </c>
      <c r="H64" s="13" t="n">
        <v>0</v>
      </c>
      <c r="I64" s="62" t="n">
        <v>45</v>
      </c>
      <c r="J64" s="13" t="n">
        <v>13.85</v>
      </c>
      <c r="K64" s="13" t="n">
        <v>145.85</v>
      </c>
    </row>
    <row r="65">
      <c r="A65" s="60" t="inlineStr">
        <is>
          <t>.ds-.monitoring-logstash-sample</t>
        </is>
      </c>
      <c r="B65" s="60" t="inlineStr">
        <is>
          <t>MON</t>
        </is>
      </c>
      <c r="C65" s="60" t="inlineStr">
        <is>
          <t>Stack monitoring, Data stream, Logstash. Patron .ds-.monitoring-logstash-sample</t>
        </is>
      </c>
      <c r="D65" s="13" t="n">
        <v>31.18</v>
      </c>
      <c r="E65" s="13" t="n">
        <v>3.21</v>
      </c>
      <c r="F65" s="62" t="n">
        <v>1772001140</v>
      </c>
      <c r="G65" s="13" t="n">
        <v>3.992</v>
      </c>
      <c r="H65" s="13" t="n">
        <v>0</v>
      </c>
      <c r="I65" s="62" t="n">
        <v>89</v>
      </c>
      <c r="J65" s="13" t="n">
        <v>15.26</v>
      </c>
      <c r="K65" s="13" t="n">
        <v>28.22</v>
      </c>
    </row>
    <row r="66">
      <c r="A66" s="60" t="inlineStr">
        <is>
          <t>.ds-elastic-cloud-logs-sample</t>
        </is>
      </c>
      <c r="B66" s="60" t="inlineStr">
        <is>
          <t>MON</t>
        </is>
      </c>
      <c r="C66" s="60" t="inlineStr">
        <is>
          <t>Stack monitoring, Data stream. Patron .ds-elastic-cloud-logs-sample</t>
        </is>
      </c>
      <c r="D66" s="13" t="n">
        <v>10.43</v>
      </c>
      <c r="E66" s="13" t="n">
        <v>3.849</v>
      </c>
      <c r="F66" s="62" t="n">
        <v>1326203369</v>
      </c>
      <c r="G66" s="13" t="n">
        <v>8.928000000000001</v>
      </c>
      <c r="H66" s="13" t="n">
        <v>0</v>
      </c>
      <c r="I66" s="62" t="n">
        <v>47</v>
      </c>
      <c r="J66" s="13" t="n">
        <v>11.93</v>
      </c>
      <c r="K66" s="13" t="n">
        <v>132.36</v>
      </c>
    </row>
    <row r="67">
      <c r="A67" s="60" t="inlineStr">
        <is>
          <t>.ds-metricbeat-sample-a</t>
        </is>
      </c>
      <c r="B67" s="60" t="inlineStr">
        <is>
          <t>MON</t>
        </is>
      </c>
      <c r="C67" s="60" t="inlineStr">
        <is>
          <t>Data stream, Metricbeat. Patron .ds-metricbeat-sample-a</t>
        </is>
      </c>
      <c r="D67" s="13" t="n">
        <v>9.02</v>
      </c>
      <c r="E67" s="13" t="n">
        <v>3.276</v>
      </c>
      <c r="F67" s="62" t="n">
        <v>1009004955</v>
      </c>
      <c r="G67" s="13" t="n">
        <v>3.744</v>
      </c>
      <c r="H67" s="13" t="n">
        <v>0</v>
      </c>
      <c r="I67" s="62" t="n">
        <v>9</v>
      </c>
      <c r="J67" s="13" t="n">
        <v>10.82</v>
      </c>
      <c r="K67" s="13" t="n">
        <v>43.75</v>
      </c>
    </row>
    <row r="68">
      <c r="A68" s="60" t="inlineStr">
        <is>
          <t>.ds-metricbeat-sample-b</t>
        </is>
      </c>
      <c r="B68" s="60" t="inlineStr">
        <is>
          <t>MON</t>
        </is>
      </c>
      <c r="C68" s="60" t="inlineStr">
        <is>
          <t>Data stream, Metricbeat. Patron .ds-metricbeat-sample-b</t>
        </is>
      </c>
      <c r="D68" s="13" t="n">
        <v>1.44</v>
      </c>
      <c r="E68" s="13" t="n">
        <v>2.896</v>
      </c>
      <c r="F68" s="62" t="n">
        <v>1046804766</v>
      </c>
      <c r="G68" s="13" t="n">
        <v>16.616</v>
      </c>
      <c r="H68" s="13" t="n">
        <v>0</v>
      </c>
      <c r="I68" s="62" t="n">
        <v>24</v>
      </c>
      <c r="J68" s="13" t="n">
        <v>18.53</v>
      </c>
      <c r="K68" s="13" t="n">
        <v>77.06</v>
      </c>
    </row>
    <row r="69">
      <c r="A69" s="60" t="inlineStr">
        <is>
          <t>.ds-metricbeat-sample-c</t>
        </is>
      </c>
      <c r="B69" s="60" t="inlineStr">
        <is>
          <t>MON</t>
        </is>
      </c>
      <c r="C69" s="60" t="inlineStr">
        <is>
          <t>Data stream, Metricbeat. Patron .ds-metricbeat-sample-c</t>
        </is>
      </c>
      <c r="D69" s="13" t="n">
        <v>47.95</v>
      </c>
      <c r="E69" s="13" t="n">
        <v>1.577</v>
      </c>
      <c r="F69" s="62" t="n">
        <v>416607917</v>
      </c>
      <c r="G69" s="13" t="n">
        <v>5.353</v>
      </c>
      <c r="H69" s="13" t="n">
        <v>0</v>
      </c>
      <c r="I69" s="62" t="n">
        <v>34</v>
      </c>
      <c r="J69" s="13" t="n">
        <v>10.83</v>
      </c>
      <c r="K69" s="13" t="n">
        <v>38.25</v>
      </c>
    </row>
    <row r="70">
      <c r="A70" s="60" t="inlineStr">
        <is>
          <t>.ds-metricbeat-sample-d</t>
        </is>
      </c>
      <c r="B70" s="60" t="inlineStr">
        <is>
          <t>MON</t>
        </is>
      </c>
      <c r="C70" s="60" t="inlineStr">
        <is>
          <t>Data stream, Metricbeat. Patron .ds-metricbeat-sample-d</t>
        </is>
      </c>
      <c r="D70" s="13" t="n">
        <v>47.06</v>
      </c>
      <c r="E70" s="13" t="n">
        <v>0.89</v>
      </c>
      <c r="F70" s="62" t="n">
        <v>103609482</v>
      </c>
      <c r="G70" s="13" t="n">
        <v>13.101</v>
      </c>
      <c r="H70" s="13" t="n">
        <v>0</v>
      </c>
      <c r="I70" s="62" t="n">
        <v>23</v>
      </c>
      <c r="J70" s="13" t="n">
        <v>13.63</v>
      </c>
      <c r="K70" s="13" t="n">
        <v>51.88</v>
      </c>
    </row>
    <row r="71">
      <c r="A71" s="60" t="inlineStr">
        <is>
          <t>.ds-metricbeat-sample-e</t>
        </is>
      </c>
      <c r="B71" s="60" t="inlineStr">
        <is>
          <t>MON</t>
        </is>
      </c>
      <c r="C71" s="60" t="inlineStr">
        <is>
          <t>Data stream, Metricbeat. Patron .ds-metricbeat-sample-e</t>
        </is>
      </c>
      <c r="D71" s="13" t="n">
        <v>11.24</v>
      </c>
      <c r="E71" s="13" t="n">
        <v>3.113</v>
      </c>
      <c r="F71" s="62" t="n">
        <v>42409788</v>
      </c>
      <c r="G71" s="13" t="n">
        <v>1.267</v>
      </c>
      <c r="H71" s="13" t="n">
        <v>0</v>
      </c>
      <c r="I71" s="62" t="n">
        <v>49</v>
      </c>
      <c r="J71" s="13" t="n">
        <v>9.550000000000001</v>
      </c>
      <c r="K71" s="13" t="n">
        <v>138.89</v>
      </c>
    </row>
    <row r="72">
      <c r="A72" s="60" t="inlineStr">
        <is>
          <t>.ds-.monitoring-kibana-sample</t>
        </is>
      </c>
      <c r="B72" s="60" t="inlineStr">
        <is>
          <t>MON</t>
        </is>
      </c>
      <c r="C72" s="60" t="inlineStr">
        <is>
          <t>Stack monitoring, Data stream, Kibana. Patron .ds-.monitoring-kibana-sample</t>
        </is>
      </c>
      <c r="D72" s="13" t="n">
        <v>48.55</v>
      </c>
      <c r="E72" s="13" t="n">
        <v>2.337</v>
      </c>
      <c r="F72" s="62" t="n">
        <v>1648201759</v>
      </c>
      <c r="G72" s="13" t="n">
        <v>8.304</v>
      </c>
      <c r="H72" s="13" t="n">
        <v>0</v>
      </c>
      <c r="I72" s="62" t="n">
        <v>60</v>
      </c>
      <c r="J72" s="13" t="n">
        <v>13.15</v>
      </c>
      <c r="K72" s="13" t="n">
        <v>113.53</v>
      </c>
    </row>
    <row r="73">
      <c r="A73" s="60" t="inlineStr">
        <is>
          <t>.ds-.monitoring-beats-sample</t>
        </is>
      </c>
      <c r="B73" s="60" t="inlineStr">
        <is>
          <t>MON</t>
        </is>
      </c>
      <c r="C73" s="60" t="inlineStr">
        <is>
          <t>Stack monitoring, Data stream. Patron .ds-.monitoring-beats-sample</t>
        </is>
      </c>
      <c r="D73" s="13" t="n">
        <v>20.67</v>
      </c>
      <c r="E73" s="13" t="n">
        <v>0.205</v>
      </c>
      <c r="F73" s="62" t="n">
        <v>344808276</v>
      </c>
      <c r="G73" s="13" t="n">
        <v>15.892</v>
      </c>
      <c r="H73" s="13" t="n">
        <v>0</v>
      </c>
      <c r="I73" s="62" t="n">
        <v>86</v>
      </c>
      <c r="J73" s="13" t="n">
        <v>17.44</v>
      </c>
      <c r="K73" s="13" t="n">
        <v>37.68</v>
      </c>
    </row>
    <row r="74">
      <c r="A74" s="60" t="inlineStr">
        <is>
          <t>.ds-logs-elastic_agent.filebeat-default</t>
        </is>
      </c>
      <c r="B74" s="60" t="inlineStr">
        <is>
          <t>MON</t>
        </is>
      </c>
      <c r="C74" s="60" t="inlineStr">
        <is>
          <t>Data stream, Filebeat. Patron .ds-logs-elastic_agent.filebeat-default</t>
        </is>
      </c>
      <c r="D74" s="13" t="n">
        <v>13.35</v>
      </c>
      <c r="E74" s="13" t="n">
        <v>2.921</v>
      </c>
      <c r="F74" s="62" t="n">
        <v>1792001040</v>
      </c>
      <c r="G74" s="13" t="n">
        <v>7.802</v>
      </c>
      <c r="H74" s="13" t="n">
        <v>0</v>
      </c>
      <c r="I74" s="62" t="n">
        <v>22</v>
      </c>
      <c r="J74" s="13" t="n">
        <v>19.92</v>
      </c>
      <c r="K74" s="13" t="n">
        <v>78.70999999999999</v>
      </c>
    </row>
    <row r="75">
      <c r="A75" s="60" t="inlineStr">
        <is>
          <t>Other MON below threshold</t>
        </is>
      </c>
      <c r="B75" s="60" t="inlineStr">
        <is>
          <t>MON</t>
        </is>
      </c>
      <c r="C75" s="60" t="inlineStr">
        <is>
          <t>Suma medida de 43 familias con menos de 0,05 GB, menos de 100000 documentos y menos de 0,05 eventos/s. No es una integracion.</t>
        </is>
      </c>
      <c r="D75" s="13" t="n">
        <v>29.24</v>
      </c>
      <c r="E75" s="13" t="n">
        <v>3.481</v>
      </c>
      <c r="F75" s="62" t="n">
        <v>872005640</v>
      </c>
      <c r="G75" s="13" t="n">
        <v>19.322</v>
      </c>
      <c r="H75" s="13" t="n">
        <v>0</v>
      </c>
      <c r="I75" s="62" t="n">
        <v>87</v>
      </c>
      <c r="J75" s="13" t="n">
        <v>14.82</v>
      </c>
      <c r="K75" s="13" t="n">
        <v>15.31</v>
      </c>
    </row>
    <row r="76"/>
    <row r="77" ht="48" customHeight="1" s="58">
      <c r="A77" s="56" t="inlineStr">
        <is>
          <t>Eventos/s ultimos 15 min = documentos con @timestamp en now-15m / 900. Las tres consultas terminaron sin timeout y sin documentos fuera del agregado. KB/doc = bytes de dataset primario / documentos / 1024. GB hot y GB frozen = ese dataset en el nodo del shard primario. Eventos/s media de vida = documentos actuales / segundos desde la creacion del indice mas antiguo. El resto por entorno suma las familias pequenas; sus GB si estan medidos.</t>
        </is>
      </c>
    </row>
  </sheetData>
  <mergeCells count="2">
    <mergeCell ref="A77:K77"/>
    <mergeCell ref="A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5" topLeftCell="A6" activePane="bottomLeft" state="frozenSplit"/>
      <selection pane="bottomLeft" activeCell="A1" sqref="A1"/>
    </sheetView>
  </sheetViews>
  <sheetFormatPr baseColWidth="10" defaultRowHeight="15"/>
  <cols>
    <col width="68.7109375" customWidth="1" style="58" min="1" max="1"/>
    <col width="16.7109375" customWidth="1" style="58" min="2" max="3"/>
    <col width="78.7109375" customWidth="1" style="58" min="4" max="4"/>
    <col width="18.7109375" customWidth="1" style="58" min="5" max="8"/>
  </cols>
  <sheetData>
    <row r="1" ht="21" customHeight="1" s="58">
      <c r="A1" s="1" t="inlineStr">
        <is>
          <t>Elastic Cloud Cost Allocator - sample workbook</t>
        </is>
      </c>
      <c r="B1" s="60" t="n"/>
      <c r="C1" s="60" t="n"/>
      <c r="D1" s="60" t="n"/>
      <c r="E1" s="60" t="n"/>
      <c r="F1" s="60" t="n"/>
      <c r="G1" s="60" t="n"/>
      <c r="H1" s="60" t="n"/>
    </row>
    <row r="2" ht="32.1" customHeight="1" s="58">
      <c r="A2" s="61" t="inlineStr">
        <is>
          <t>Datos de consola y clusters del sample snapshot date. Importes en ECU. Las celdas amarillas se pueden editar. No cambia nada en Elastic Cloud.</t>
        </is>
      </c>
    </row>
    <row r="3">
      <c r="A3" s="60" t="n"/>
      <c r="B3" s="60" t="n"/>
      <c r="C3" s="60" t="n"/>
      <c r="D3" s="60" t="n"/>
      <c r="E3" s="60" t="n"/>
      <c r="F3" s="60" t="n"/>
      <c r="G3" s="60" t="n"/>
      <c r="H3" s="60" t="n"/>
    </row>
    <row r="4">
      <c r="A4" s="59" t="inlineStr">
        <is>
          <t>Horas, commit y recargo</t>
        </is>
      </c>
      <c r="B4" s="59" t="n"/>
      <c r="C4" s="60" t="n"/>
      <c r="D4" s="60" t="n"/>
      <c r="E4" s="60" t="n"/>
      <c r="F4" s="60" t="n"/>
      <c r="G4" s="60" t="n"/>
      <c r="H4" s="60" t="n"/>
    </row>
    <row r="5">
      <c r="A5" s="60" t="inlineStr">
        <is>
          <t>Horas al mes</t>
        </is>
      </c>
      <c r="B5" s="4" t="n">
        <v>730</v>
      </c>
      <c r="C5" s="60" t="n"/>
      <c r="D5" s="60" t="n"/>
      <c r="E5" s="60" t="n"/>
      <c r="F5" s="60" t="n"/>
      <c r="G5" s="60" t="n"/>
      <c r="H5" s="60" t="n"/>
    </row>
    <row r="6">
      <c r="A6" s="60" t="inlineStr">
        <is>
          <t>Recargo sobre PRE y PRO</t>
        </is>
      </c>
      <c r="B6" s="47">
        <f>B58</f>
        <v/>
      </c>
      <c r="C6" s="60" t="n"/>
      <c r="D6" s="60" t="n"/>
      <c r="E6" s="60" t="n"/>
      <c r="F6" s="60" t="n"/>
      <c r="G6" s="60" t="n"/>
      <c r="H6" s="60" t="n"/>
    </row>
    <row r="7" ht="48" customHeight="1" s="58">
      <c r="A7" s="61" t="inlineStr">
        <is>
          <t>La formula hot + frozen + snapshots de PRE y PRO no llega al commit. El recargo de la hoja Con administracion se aplica solo a PRE y PRO: plataforma, salida de datos, API de snapshots, hueco de picos y el margen. Monitoring se cobra en sus propias filas, a su tarifa, y no se suma otra vez aqui.</t>
        </is>
      </c>
    </row>
    <row r="8">
      <c r="A8" s="60" t="n"/>
      <c r="B8" s="60" t="n"/>
      <c r="C8" s="60" t="n"/>
      <c r="D8" s="60" t="n"/>
      <c r="E8" s="60" t="n"/>
      <c r="F8" s="60" t="n"/>
      <c r="G8" s="60" t="n"/>
      <c r="H8" s="60" t="n"/>
    </row>
    <row r="9">
      <c r="A9" s="59" t="inlineStr">
        <is>
          <t>Sample ECU hourly rates (illustrative — not a real invoice)</t>
        </is>
      </c>
      <c r="B9" s="59" t="n"/>
      <c r="C9" s="59" t="n"/>
      <c r="D9" s="59" t="n"/>
      <c r="E9" s="60" t="n"/>
      <c r="F9" s="60" t="n"/>
      <c r="G9" s="60" t="n"/>
      <c r="H9" s="60" t="n"/>
    </row>
    <row r="10">
      <c r="A10" s="5" t="inlineStr">
        <is>
          <t>Componente</t>
        </is>
      </c>
      <c r="B10" s="5" t="inlineStr">
        <is>
          <t>PRE ECU/h</t>
        </is>
      </c>
      <c r="C10" s="5" t="inlineStr">
        <is>
          <t>PRO ECU/h</t>
        </is>
      </c>
      <c r="D10" s="5" t="inlineStr">
        <is>
          <t>Que es</t>
        </is>
      </c>
      <c r="E10" s="23" t="inlineStr">
        <is>
          <t>MON ECU/h</t>
        </is>
      </c>
      <c r="F10" s="60" t="n"/>
      <c r="G10" s="60" t="n"/>
      <c r="H10" s="60" t="n"/>
    </row>
    <row r="11">
      <c r="A11" s="60" t="inlineStr">
        <is>
          <t>Hot</t>
        </is>
      </c>
      <c r="B11" s="48" t="n">
        <v>3.5</v>
      </c>
      <c r="C11" s="48" t="n">
        <v>5</v>
      </c>
      <c r="D11" s="34" t="inlineStr">
        <is>
          <t>SAMPLE: PRE 3x15GB hot; PRO 2x30GB hot — replace with your topology</t>
        </is>
      </c>
      <c r="E11" s="34">
        <f>B51</f>
        <v/>
      </c>
      <c r="F11" s="60" t="n"/>
      <c r="G11" s="60" t="n"/>
      <c r="H11" s="60" t="n"/>
    </row>
    <row r="12">
      <c r="A12" s="60" t="inlineStr">
        <is>
          <t>Frozen</t>
        </is>
      </c>
      <c r="B12" s="48" t="n">
        <v>0.35</v>
      </c>
      <c r="C12" s="48" t="n">
        <v>1</v>
      </c>
      <c r="D12" s="34" t="inlineStr">
        <is>
          <t>SAMPLE frozen topology — replace with your frozen tier</t>
        </is>
      </c>
      <c r="E12" s="34" t="n">
        <v>0</v>
      </c>
      <c r="F12" s="60" t="n"/>
      <c r="G12" s="60" t="n"/>
      <c r="H12" s="60" t="n"/>
    </row>
    <row r="13">
      <c r="A13" s="60" t="inlineStr">
        <is>
          <t>Kibana</t>
        </is>
      </c>
      <c r="B13" s="48" t="n">
        <v>0.28</v>
      </c>
      <c r="C13" s="48" t="n">
        <v>0.5600000000000001</v>
      </c>
      <c r="D13" s="34" t="inlineStr">
        <is>
          <t>SAMPLE Kibana sizes — replace with yours</t>
        </is>
      </c>
      <c r="E13" s="34" t="n">
        <v>0</v>
      </c>
      <c r="F13" s="60" t="n"/>
      <c r="G13" s="60" t="n"/>
      <c r="H13" s="60" t="n"/>
    </row>
    <row r="14">
      <c r="A14" s="60" t="inlineStr">
        <is>
          <t>Integrations Server</t>
        </is>
      </c>
      <c r="B14" s="48" t="n">
        <v>0.14</v>
      </c>
      <c r="C14" s="48" t="n">
        <v>0.14</v>
      </c>
      <c r="D14" s="34" t="inlineStr">
        <is>
          <t>SAMPLE Integrations Server — replace with yours</t>
        </is>
      </c>
      <c r="E14" s="34" t="n">
        <v>0</v>
      </c>
      <c r="F14" s="60" t="n"/>
      <c r="G14" s="60" t="n"/>
      <c r="H14" s="60" t="n"/>
    </row>
    <row r="15">
      <c r="A15" s="60" t="inlineStr">
        <is>
          <t>Tiebreaker</t>
        </is>
      </c>
      <c r="B15" s="48" t="n">
        <v>0</v>
      </c>
      <c r="C15" s="48" t="n">
        <v>0.07000000000000001</v>
      </c>
      <c r="D15" s="34" t="inlineStr">
        <is>
          <t>SAMPLE tiebreaker PRO only</t>
        </is>
      </c>
      <c r="E15" s="34" t="n">
        <v>0</v>
      </c>
      <c r="F15" s="60" t="n"/>
      <c r="G15" s="60" t="n"/>
      <c r="H15" s="60" t="n"/>
    </row>
    <row r="16">
      <c r="A16" s="6" t="inlineStr">
        <is>
          <t>Plataforma (Kibana + Integrations + tiebreaker)</t>
        </is>
      </c>
      <c r="B16" s="49">
        <f>B13+B14+B15</f>
        <v/>
      </c>
      <c r="C16" s="49">
        <f>C13+C14+C15</f>
        <v/>
      </c>
      <c r="D16" s="34" t="n"/>
      <c r="E16" s="34">
        <f>E13+E14+E15</f>
        <v/>
      </c>
      <c r="F16" s="60" t="n"/>
      <c r="G16" s="60" t="n"/>
      <c r="H16" s="60" t="n"/>
    </row>
    <row r="17">
      <c r="A17" s="6" t="inlineStr">
        <is>
          <t>Capacidad total</t>
        </is>
      </c>
      <c r="B17" s="49">
        <f>SUM(B11:B15)</f>
        <v/>
      </c>
      <c r="C17" s="49">
        <f>SUM(C11:C15)</f>
        <v/>
      </c>
      <c r="D17" s="34" t="n"/>
      <c r="E17" s="34">
        <f>SUM(E11:E15)</f>
        <v/>
      </c>
      <c r="F17" s="60" t="n"/>
      <c r="G17" s="60" t="n"/>
      <c r="H17" s="60" t="n"/>
    </row>
    <row r="18">
      <c r="A18" s="60" t="n"/>
      <c r="B18" s="60" t="n"/>
      <c r="C18" s="60" t="n"/>
      <c r="D18" s="60" t="n"/>
      <c r="E18" s="60" t="n"/>
      <c r="F18" s="60" t="n"/>
      <c r="G18" s="60" t="n"/>
      <c r="H18" s="60" t="n"/>
    </row>
    <row r="19">
      <c r="A19" s="59" t="inlineStr">
        <is>
          <t>Uso medido del cluster</t>
        </is>
      </c>
      <c r="B19" s="59" t="n"/>
      <c r="C19" s="59" t="n"/>
      <c r="D19" s="60" t="n"/>
      <c r="E19" s="60" t="n"/>
      <c r="F19" s="60" t="n"/>
      <c r="G19" s="60" t="n"/>
      <c r="H19" s="60" t="n"/>
    </row>
    <row r="20">
      <c r="A20" s="5" t="inlineStr">
        <is>
          <t>Concepto</t>
        </is>
      </c>
      <c r="B20" s="5" t="inlineStr">
        <is>
          <t>PRE</t>
        </is>
      </c>
      <c r="C20" s="5" t="inlineStr">
        <is>
          <t>PRO</t>
        </is>
      </c>
      <c r="D20" s="23" t="inlineStr">
        <is>
          <t>MON</t>
        </is>
      </c>
      <c r="E20" s="60" t="n"/>
      <c r="F20" s="60" t="n"/>
      <c r="G20" s="60" t="n"/>
      <c r="H20" s="60" t="n"/>
    </row>
    <row r="21">
      <c r="A21" s="60" t="inlineStr">
        <is>
          <t>GB hot primarios</t>
        </is>
      </c>
      <c r="B21" s="50">
        <f>SUMIF(Measurement!B:B,"PRE",Measurement!G:G)</f>
        <v/>
      </c>
      <c r="C21" s="50">
        <f>SUMIF(Measurement!B:B,"PRO",Measurement!G:G)</f>
        <v/>
      </c>
      <c r="D21" s="50">
        <f>SUMIF(Measurement!B:B,"MON",Measurement!G:G)</f>
        <v/>
      </c>
      <c r="E21" s="60" t="n"/>
      <c r="F21" s="60" t="n"/>
      <c r="G21" s="60" t="n"/>
      <c r="H21" s="60" t="n"/>
    </row>
    <row r="22">
      <c r="A22" s="60" t="inlineStr">
        <is>
          <t>GB frozen (dataset)</t>
        </is>
      </c>
      <c r="B22" s="50">
        <f>SUMIF(Measurement!B:B,"PRE",Measurement!H:H)</f>
        <v/>
      </c>
      <c r="C22" s="50">
        <f>SUMIF(Measurement!B:B,"PRO",Measurement!H:H)</f>
        <v/>
      </c>
      <c r="D22" s="50">
        <f>SUMIF(Measurement!B:B,"MON",Measurement!H:H)</f>
        <v/>
      </c>
      <c r="E22" s="60" t="n"/>
      <c r="F22" s="60" t="n"/>
      <c r="G22" s="60" t="n"/>
      <c r="H22" s="60" t="n"/>
    </row>
    <row r="23">
      <c r="A23" s="60" t="inlineStr">
        <is>
          <t>Snapshots ECU/month (sample closed month)</t>
        </is>
      </c>
      <c r="B23" s="51" t="n">
        <v>200</v>
      </c>
      <c r="C23" s="51" t="n">
        <v>500</v>
      </c>
      <c r="D23" s="36">
        <f>B52</f>
        <v/>
      </c>
      <c r="E23" s="60" t="n"/>
      <c r="F23" s="60" t="n"/>
      <c r="G23" s="60" t="n"/>
      <c r="H23" s="60" t="n"/>
    </row>
    <row r="24">
      <c r="A24" s="60" t="n"/>
      <c r="B24" s="60" t="n"/>
      <c r="C24" s="60" t="n"/>
      <c r="D24" s="60" t="n"/>
      <c r="E24" s="60" t="n"/>
      <c r="F24" s="60" t="n"/>
      <c r="G24" s="60" t="n"/>
      <c r="H24" s="60" t="n"/>
    </row>
    <row r="25">
      <c r="A25" s="59" t="inlineStr">
        <is>
          <t>Los eventos/s, KB/doc y GB por integracion estan medidos en la hoja Measurement. Esta tabla ya no se rellena a mano.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0" t="n"/>
      <c r="B27" s="60" t="n"/>
      <c r="C27" s="63" t="n"/>
      <c r="D27" s="64" t="n"/>
      <c r="E27" s="10" t="n"/>
      <c r="F27" s="10" t="n"/>
      <c r="G27" s="10" t="n"/>
      <c r="H27" s="60" t="n"/>
    </row>
    <row r="28">
      <c r="A28" s="60" t="n"/>
      <c r="B28" s="60" t="n"/>
      <c r="C28" s="63" t="n"/>
      <c r="D28" s="64" t="n"/>
      <c r="E28" s="10" t="n"/>
      <c r="F28" s="10" t="n"/>
      <c r="G28" s="10" t="n"/>
      <c r="H28" s="60" t="n"/>
    </row>
    <row r="29">
      <c r="A29" s="60" t="n"/>
      <c r="B29" s="60" t="n"/>
      <c r="C29" s="63" t="n"/>
      <c r="D29" s="64" t="n"/>
      <c r="E29" s="7" t="n"/>
      <c r="F29" s="7" t="n"/>
      <c r="G29" s="7" t="n"/>
      <c r="H29" s="11" t="n"/>
    </row>
    <row r="30">
      <c r="A30" s="60" t="n"/>
      <c r="B30" s="60" t="n"/>
      <c r="C30" s="63" t="n"/>
      <c r="D30" s="64" t="n"/>
      <c r="E30" s="7" t="n"/>
      <c r="F30" s="7" t="n"/>
      <c r="G30" s="7" t="n"/>
      <c r="H30" s="11" t="n"/>
    </row>
    <row r="31">
      <c r="A31" s="60" t="n"/>
      <c r="B31" s="60" t="n"/>
      <c r="C31" s="63" t="n"/>
      <c r="D31" s="64" t="n"/>
      <c r="E31" s="7" t="n"/>
      <c r="F31" s="7" t="n"/>
      <c r="G31" s="7" t="n"/>
      <c r="H31" s="11" t="n"/>
    </row>
    <row r="32">
      <c r="A32" s="60" t="n"/>
      <c r="B32" s="60" t="n"/>
      <c r="C32" s="63" t="n"/>
      <c r="D32" s="64" t="n"/>
      <c r="E32" s="7" t="n"/>
      <c r="F32" s="7" t="n"/>
      <c r="G32" s="7" t="n"/>
      <c r="H32" s="11" t="n"/>
    </row>
    <row r="33">
      <c r="A33" s="60" t="n"/>
      <c r="B33" s="60" t="n"/>
      <c r="C33" s="60" t="n"/>
      <c r="D33" s="60" t="n"/>
      <c r="E33" s="60" t="n"/>
      <c r="F33" s="60" t="n"/>
      <c r="G33" s="60" t="n"/>
      <c r="H33" s="60" t="n"/>
    </row>
    <row r="34">
      <c r="A34" s="60" t="inlineStr">
        <is>
          <t>GB/h de ingesta del cluster</t>
        </is>
      </c>
      <c r="B34" s="65" t="n"/>
      <c r="C34" s="65" t="n"/>
      <c r="D34" s="60" t="n"/>
      <c r="E34" s="60" t="n"/>
      <c r="F34" s="60" t="n"/>
      <c r="G34" s="60" t="n"/>
      <c r="H34" s="60" t="n"/>
    </row>
    <row r="35">
      <c r="A35" s="60" t="inlineStr">
        <is>
          <t>GB/h de ingesta</t>
        </is>
      </c>
      <c r="B35" s="60" t="inlineStr">
        <is>
          <t>PRE</t>
        </is>
      </c>
      <c r="C35" s="60" t="inlineStr">
        <is>
          <t>PRO</t>
        </is>
      </c>
      <c r="D35" s="60" t="n"/>
      <c r="E35" s="60" t="n"/>
      <c r="F35" s="60" t="n"/>
      <c r="G35" s="60" t="n"/>
      <c r="H35" s="60" t="n"/>
    </row>
    <row r="36">
      <c r="A36" s="60" t="n"/>
      <c r="B36" s="60" t="n"/>
      <c r="C36" s="60" t="n"/>
      <c r="D36" s="60" t="n"/>
      <c r="E36" s="60" t="n"/>
      <c r="F36" s="60" t="n"/>
      <c r="G36" s="60" t="n"/>
      <c r="H36" s="60" t="n"/>
    </row>
    <row r="37" ht="36" customHeight="1" s="58">
      <c r="A37" s="61" t="inlineStr">
        <is>
          <t>El reparto principal usa los GB medidos: el hot y la plataforma se reparten por GB hot; el frozen y los snapshots, por GB frozen. La ingesta solo alimenta el segundo bloque, que es el metodo de la calculadora anterior.</t>
        </is>
      </c>
    </row>
    <row r="38"/>
    <row r="39"/>
    <row r="40">
      <c r="A40" s="57" t="inlineStr">
        <is>
          <t>Cobertura del commit anual</t>
        </is>
      </c>
      <c r="B40" s="57" t="n"/>
      <c r="C40" s="57" t="n"/>
    </row>
    <row r="41">
      <c r="A41" t="inlineStr">
        <is>
          <t>Horas al año</t>
        </is>
      </c>
      <c r="B41" s="45">
        <f>B5*12</f>
        <v/>
      </c>
    </row>
    <row r="42">
      <c r="A42" t="inlineStr">
        <is>
          <t>Sample annual ECU allocation (illustrative)</t>
        </is>
      </c>
      <c r="B42" s="55" t="n">
        <v>100000</v>
      </c>
    </row>
    <row r="43">
      <c r="A43" t="inlineStr">
        <is>
          <t>Margen sobre el commit</t>
        </is>
      </c>
      <c r="B43" s="52" t="n">
        <v>0.03</v>
      </c>
    </row>
    <row r="44">
      <c r="A44" s="17" t="inlineStr">
        <is>
          <t>Objetivo anual a repercutir</t>
        </is>
      </c>
      <c r="B44" s="46">
        <f>B42*(1+B43)</f>
        <v/>
      </c>
    </row>
    <row r="45"/>
    <row r="46">
      <c r="A46" t="inlineStr">
        <is>
          <t>Base formula PRE</t>
        </is>
      </c>
      <c r="B46" s="45">
        <f>B11*B41+B12*B41+B23*12</f>
        <v/>
      </c>
    </row>
    <row r="47">
      <c r="A47" t="inlineStr">
        <is>
          <t>Base formula PRO</t>
        </is>
      </c>
      <c r="B47" s="45">
        <f>C11*B41+C12*B41+C23*12</f>
        <v/>
      </c>
    </row>
    <row r="48">
      <c r="A48" s="17" t="inlineStr">
        <is>
          <t>Base PRE+PRO</t>
        </is>
      </c>
      <c r="B48" s="46">
        <f>B46+B47</f>
        <v/>
      </c>
    </row>
    <row r="49"/>
    <row r="50">
      <c r="A50" t="inlineStr">
        <is>
          <t>Plataforma anual (Kibana, Integrations, tiebreaker)</t>
        </is>
      </c>
      <c r="B50" s="45">
        <f>(B16+C16)*B41</f>
        <v/>
      </c>
    </row>
    <row r="51">
      <c r="A51" t="inlineStr">
        <is>
          <t>Monitoring ECU/h</t>
        </is>
      </c>
      <c r="B51" s="66" t="n">
        <v>0.5</v>
      </c>
    </row>
    <row r="52">
      <c r="A52" t="inlineStr">
        <is>
          <t>Monitoring snapshots ECU/mes</t>
        </is>
      </c>
      <c r="B52" s="66" t="n">
        <v>10</v>
      </c>
    </row>
    <row r="53">
      <c r="A53" t="inlineStr">
        <is>
          <t>Monitoring anual</t>
        </is>
      </c>
      <c r="B53" s="45">
        <f>B51*B41+B52*12</f>
        <v/>
      </c>
    </row>
    <row r="54">
      <c r="A54" t="inlineStr">
        <is>
          <t>Otros ECU/año (salida y API de snapshots, agosto x 12)</t>
        </is>
      </c>
      <c r="B54" s="55" t="n">
        <v>500</v>
      </c>
    </row>
    <row r="55">
      <c r="A55" s="17" t="inlineStr">
        <is>
          <t>Consumo real estimado</t>
        </is>
      </c>
      <c r="B55" s="46">
        <f>B48+B50+B53+B54</f>
        <v/>
      </c>
    </row>
    <row r="56">
      <c r="A56" s="17" t="inlineStr">
        <is>
          <t>Hueco del commit sobre el consumo real</t>
        </is>
      </c>
      <c r="B56" s="46">
        <f>B42-B55</f>
        <v/>
      </c>
    </row>
    <row r="57"/>
    <row r="58">
      <c r="A58" s="19" t="inlineStr">
        <is>
          <t>Recargo necesario sobre la formula</t>
        </is>
      </c>
      <c r="B58" s="53">
        <f>(B44-B53)/B48-1</f>
        <v/>
      </c>
    </row>
    <row r="59"/>
    <row r="60">
      <c r="A60" s="17" t="inlineStr">
        <is>
          <t>De que se compone el recargo</t>
        </is>
      </c>
    </row>
    <row r="61">
      <c r="A61" t="inlineStr">
        <is>
          <t>Plataforma</t>
        </is>
      </c>
      <c r="B61" s="42">
        <f>B50/B48</f>
        <v/>
      </c>
    </row>
    <row r="62">
      <c r="A62" t="inlineStr">
        <is>
          <t>Monitoring (va en sus filas, no dentro del recargo)</t>
        </is>
      </c>
      <c r="B62" s="42">
        <f>B53/B48</f>
        <v/>
      </c>
    </row>
    <row r="63">
      <c r="A63" t="inlineStr">
        <is>
          <t>Salida y API de snapshots</t>
        </is>
      </c>
      <c r="B63" s="42">
        <f>B54/B48</f>
        <v/>
      </c>
    </row>
    <row r="64">
      <c r="A64" t="inlineStr">
        <is>
          <t>Picos del contrato y administracion</t>
        </is>
      </c>
      <c r="B64" s="42">
        <f>(B44-B55)/B48</f>
        <v/>
      </c>
    </row>
    <row r="65">
      <c r="A65" s="17" t="inlineStr">
        <is>
          <t>Suma, debe coincidir con el recargo</t>
        </is>
      </c>
      <c r="B65" s="54">
        <f>B61+B63+B64</f>
        <v/>
      </c>
    </row>
  </sheetData>
  <mergeCells count="4">
    <mergeCell ref="A7:H7"/>
    <mergeCell ref="A25:H25"/>
    <mergeCell ref="A2:H2"/>
    <mergeCell ref="A37:H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0"/>
  <sheetViews>
    <sheetView workbookViewId="0">
      <selection activeCell="A1" sqref="A1"/>
    </sheetView>
  </sheetViews>
  <sheetFormatPr baseColWidth="10" defaultRowHeight="15"/>
  <cols>
    <col width="55.7109375" customWidth="1" style="58" min="1" max="1"/>
    <col width="12.7109375" customWidth="1" style="58" min="2" max="2"/>
    <col width="55.7109375" customWidth="1" style="58" min="3" max="3"/>
    <col width="14.7109375" customWidth="1" style="58" min="4" max="19"/>
  </cols>
  <sheetData>
    <row r="1" ht="21" customHeight="1" s="58">
      <c r="A1" s="1" t="inlineStr">
        <is>
          <t>Reparto sin coste de administracion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</row>
    <row r="2" ht="36" customHeight="1" s="58">
      <c r="A2" s="61" t="inlineStr">
        <is>
          <t>Cada fila es una familia medida el sample snapshot date. ECU/mes = cuota hot x ECU/h hot x horas + cuota frozen x (ECU/h frozen x horas + snapshots). Monitoring no tiene frozen: sus snapshots van por cuota hot. El recargo solo entra en PRE y PRO.</t>
        </is>
      </c>
    </row>
    <row r="3">
      <c r="A3" s="60" t="inlineStr">
        <is>
          <t>Recargo aplicado</t>
        </is>
      </c>
      <c r="B3" s="20" t="n">
        <v>0</v>
      </c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</row>
    <row r="4">
      <c r="A4" s="60" t="n"/>
      <c r="B4" s="60" t="n"/>
      <c r="C4" s="60" t="n"/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</row>
    <row r="5" ht="36" customHeight="1" s="58">
      <c r="A5" s="22" t="inlineStr">
        <is>
          <t>Familia</t>
        </is>
      </c>
      <c r="B5" s="22" t="inlineStr">
        <is>
          <t>Entorno</t>
        </is>
      </c>
      <c r="C5" s="22" t="inlineStr">
        <is>
          <t>Que es</t>
        </is>
      </c>
      <c r="D5" s="22" t="inlineStr">
        <is>
          <t>Eventos/s 15 min</t>
        </is>
      </c>
      <c r="E5" s="22" t="inlineStr">
        <is>
          <t>Eventos/s media de vida</t>
        </is>
      </c>
      <c r="F5" s="22" t="inlineStr">
        <is>
          <t>KB/doc</t>
        </is>
      </c>
      <c r="G5" s="22" t="inlineStr">
        <is>
          <t>Documentos</t>
        </is>
      </c>
      <c r="H5" s="22" t="inlineStr">
        <is>
          <t>Indices</t>
        </is>
      </c>
      <c r="I5" s="22" t="inlineStr">
        <is>
          <t>GB hot</t>
        </is>
      </c>
      <c r="J5" s="22" t="inlineStr">
        <is>
          <t>Cuota hot</t>
        </is>
      </c>
      <c r="K5" s="22" t="inlineStr">
        <is>
          <t>GB frozen</t>
        </is>
      </c>
      <c r="L5" s="22" t="inlineStr">
        <is>
          <t>Cuota frozen</t>
        </is>
      </c>
      <c r="M5" s="22" t="inlineStr">
        <is>
          <t>ECU/h hot</t>
        </is>
      </c>
      <c r="N5" s="22" t="inlineStr">
        <is>
          <t>ECU/h frozen</t>
        </is>
      </c>
      <c r="O5" s="22" t="inlineStr">
        <is>
          <t>ECU/mes capacidad</t>
        </is>
      </c>
      <c r="P5" s="22" t="inlineStr">
        <is>
          <t>ECU/mes snapshots</t>
        </is>
      </c>
      <c r="Q5" s="22" t="inlineStr">
        <is>
          <t>ECU/mes Elastic</t>
        </is>
      </c>
      <c r="R5" s="22" t="inlineStr">
        <is>
          <t>ECU/mes recargo</t>
        </is>
      </c>
      <c r="S5" s="22" t="inlineStr">
        <is>
          <t>ECU/mes a repercutir</t>
        </is>
      </c>
    </row>
    <row r="6">
      <c r="A6">
        <f>Measurement!A3</f>
        <v/>
      </c>
      <c r="B6">
        <f>Measurement!B3</f>
        <v/>
      </c>
      <c r="C6">
        <f>Measurement!C3</f>
        <v/>
      </c>
      <c r="D6" s="43">
        <f>Measurement!D3</f>
        <v/>
      </c>
      <c r="E6" s="43">
        <f>Measurement!J3</f>
        <v/>
      </c>
      <c r="F6" s="43">
        <f>Measurement!E3</f>
        <v/>
      </c>
      <c r="G6" s="67">
        <f>Measurement!F3</f>
        <v/>
      </c>
      <c r="H6" s="67">
        <f>Measurement!I3</f>
        <v/>
      </c>
      <c r="I6" s="32">
        <f>Measurement!G3</f>
        <v/>
      </c>
      <c r="J6" s="42">
        <f>IF(B6="PRE",IF(Parameters!$B$21=0,0,I6/Parameters!$B$21),IF(B6="PRO",IF(Parameters!$C$21=0,0,I6/Parameters!$C$21),IF(Parameters!$D$21=0,0,I6/Parameters!$D$21)))</f>
        <v/>
      </c>
      <c r="K6" s="32">
        <f>Measurement!H3</f>
        <v/>
      </c>
      <c r="L6" s="42">
        <f>IF(B6="PRE",IF(Parameters!$B$22=0,0,K6/Parameters!$B$22),IF(B6="PRO",IF(Parameters!$C$22=0,0,K6/Parameters!$C$22),IF(Parameters!$D$22=0,0,K6/Parameters!$D$22)))</f>
        <v/>
      </c>
      <c r="M6" s="43">
        <f>IF(B6="PRE",J6*Parameters!$B$11,IF(B6="PRO",J6*Parameters!$C$11,J6*Parameters!$E$11))</f>
        <v/>
      </c>
      <c r="N6" s="43">
        <f>IF(B6="PRE",L6*Parameters!$B$12,IF(B6="PRO",L6*Parameters!$C$12,L6*Parameters!$E$12))</f>
        <v/>
      </c>
      <c r="O6" s="45">
        <f>(M6+N6)*Parameters!$B$5</f>
        <v/>
      </c>
      <c r="P6" s="45">
        <f>IF(B6="PRE",L6*Parameters!$B$23,IF(B6="PRO",L6*Parameters!$C$23,IF(Parameters!$D$22=0,J6*Parameters!$D$23,L6*Parameters!$D$23)))</f>
        <v/>
      </c>
      <c r="Q6" s="45">
        <f>O6+P6</f>
        <v/>
      </c>
      <c r="R6" s="45">
        <f>IF(OR(B6="PRE",B6="PRO"),Q6*$B$3,0)</f>
        <v/>
      </c>
      <c r="S6" s="45">
        <f>Q6+R6</f>
        <v/>
      </c>
    </row>
    <row r="7">
      <c r="A7">
        <f>Measurement!A4</f>
        <v/>
      </c>
      <c r="B7">
        <f>Measurement!B4</f>
        <v/>
      </c>
      <c r="C7">
        <f>Measurement!C4</f>
        <v/>
      </c>
      <c r="D7" s="43">
        <f>Measurement!D4</f>
        <v/>
      </c>
      <c r="E7" s="43">
        <f>Measurement!J4</f>
        <v/>
      </c>
      <c r="F7" s="43">
        <f>Measurement!E4</f>
        <v/>
      </c>
      <c r="G7" s="67">
        <f>Measurement!F4</f>
        <v/>
      </c>
      <c r="H7" s="67">
        <f>Measurement!I4</f>
        <v/>
      </c>
      <c r="I7" s="32">
        <f>Measurement!G4</f>
        <v/>
      </c>
      <c r="J7" s="42">
        <f>IF(B7="PRE",IF(Parameters!$B$21=0,0,I7/Parameters!$B$21),IF(B7="PRO",IF(Parameters!$C$21=0,0,I7/Parameters!$C$21),IF(Parameters!$D$21=0,0,I7/Parameters!$D$21)))</f>
        <v/>
      </c>
      <c r="K7" s="32">
        <f>Measurement!H4</f>
        <v/>
      </c>
      <c r="L7" s="42">
        <f>IF(B7="PRE",IF(Parameters!$B$22=0,0,K7/Parameters!$B$22),IF(B7="PRO",IF(Parameters!$C$22=0,0,K7/Parameters!$C$22),IF(Parameters!$D$22=0,0,K7/Parameters!$D$22)))</f>
        <v/>
      </c>
      <c r="M7" s="43">
        <f>IF(B7="PRE",J7*Parameters!$B$11,IF(B7="PRO",J7*Parameters!$C$11,J7*Parameters!$E$11))</f>
        <v/>
      </c>
      <c r="N7" s="43">
        <f>IF(B7="PRE",L7*Parameters!$B$12,IF(B7="PRO",L7*Parameters!$C$12,L7*Parameters!$E$12))</f>
        <v/>
      </c>
      <c r="O7" s="45">
        <f>(M7+N7)*Parameters!$B$5</f>
        <v/>
      </c>
      <c r="P7" s="45">
        <f>IF(B7="PRE",L7*Parameters!$B$23,IF(B7="PRO",L7*Parameters!$C$23,IF(Parameters!$D$22=0,J7*Parameters!$D$23,L7*Parameters!$D$23)))</f>
        <v/>
      </c>
      <c r="Q7" s="45">
        <f>O7+P7</f>
        <v/>
      </c>
      <c r="R7" s="45">
        <f>IF(OR(B7="PRE",B7="PRO"),Q7*$B$3,0)</f>
        <v/>
      </c>
      <c r="S7" s="45">
        <f>Q7+R7</f>
        <v/>
      </c>
    </row>
    <row r="8">
      <c r="A8">
        <f>Measurement!A5</f>
        <v/>
      </c>
      <c r="B8">
        <f>Measurement!B5</f>
        <v/>
      </c>
      <c r="C8">
        <f>Measurement!C5</f>
        <v/>
      </c>
      <c r="D8" s="43">
        <f>Measurement!D5</f>
        <v/>
      </c>
      <c r="E8" s="43">
        <f>Measurement!J5</f>
        <v/>
      </c>
      <c r="F8" s="43">
        <f>Measurement!E5</f>
        <v/>
      </c>
      <c r="G8" s="67">
        <f>Measurement!F5</f>
        <v/>
      </c>
      <c r="H8" s="67">
        <f>Measurement!I5</f>
        <v/>
      </c>
      <c r="I8" s="32">
        <f>Measurement!G5</f>
        <v/>
      </c>
      <c r="J8" s="42">
        <f>IF(B8="PRE",IF(Parameters!$B$21=0,0,I8/Parameters!$B$21),IF(B8="PRO",IF(Parameters!$C$21=0,0,I8/Parameters!$C$21),IF(Parameters!$D$21=0,0,I8/Parameters!$D$21)))</f>
        <v/>
      </c>
      <c r="K8" s="32">
        <f>Measurement!H5</f>
        <v/>
      </c>
      <c r="L8" s="42">
        <f>IF(B8="PRE",IF(Parameters!$B$22=0,0,K8/Parameters!$B$22),IF(B8="PRO",IF(Parameters!$C$22=0,0,K8/Parameters!$C$22),IF(Parameters!$D$22=0,0,K8/Parameters!$D$22)))</f>
        <v/>
      </c>
      <c r="M8" s="43">
        <f>IF(B8="PRE",J8*Parameters!$B$11,IF(B8="PRO",J8*Parameters!$C$11,J8*Parameters!$E$11))</f>
        <v/>
      </c>
      <c r="N8" s="43">
        <f>IF(B8="PRE",L8*Parameters!$B$12,IF(B8="PRO",L8*Parameters!$C$12,L8*Parameters!$E$12))</f>
        <v/>
      </c>
      <c r="O8" s="45">
        <f>(M8+N8)*Parameters!$B$5</f>
        <v/>
      </c>
      <c r="P8" s="45">
        <f>IF(B8="PRE",L8*Parameters!$B$23,IF(B8="PRO",L8*Parameters!$C$23,IF(Parameters!$D$22=0,J8*Parameters!$D$23,L8*Parameters!$D$23)))</f>
        <v/>
      </c>
      <c r="Q8" s="45">
        <f>O8+P8</f>
        <v/>
      </c>
      <c r="R8" s="45">
        <f>IF(OR(B8="PRE",B8="PRO"),Q8*$B$3,0)</f>
        <v/>
      </c>
      <c r="S8" s="45">
        <f>Q8+R8</f>
        <v/>
      </c>
    </row>
    <row r="9">
      <c r="A9">
        <f>Measurement!A6</f>
        <v/>
      </c>
      <c r="B9">
        <f>Measurement!B6</f>
        <v/>
      </c>
      <c r="C9">
        <f>Measurement!C6</f>
        <v/>
      </c>
      <c r="D9" s="43">
        <f>Measurement!D6</f>
        <v/>
      </c>
      <c r="E9" s="43">
        <f>Measurement!J6</f>
        <v/>
      </c>
      <c r="F9" s="43">
        <f>Measurement!E6</f>
        <v/>
      </c>
      <c r="G9" s="67">
        <f>Measurement!F6</f>
        <v/>
      </c>
      <c r="H9" s="67">
        <f>Measurement!I6</f>
        <v/>
      </c>
      <c r="I9" s="32">
        <f>Measurement!G6</f>
        <v/>
      </c>
      <c r="J9" s="42">
        <f>IF(B9="PRE",IF(Parameters!$B$21=0,0,I9/Parameters!$B$21),IF(B9="PRO",IF(Parameters!$C$21=0,0,I9/Parameters!$C$21),IF(Parameters!$D$21=0,0,I9/Parameters!$D$21)))</f>
        <v/>
      </c>
      <c r="K9" s="32">
        <f>Measurement!H6</f>
        <v/>
      </c>
      <c r="L9" s="42">
        <f>IF(B9="PRE",IF(Parameters!$B$22=0,0,K9/Parameters!$B$22),IF(B9="PRO",IF(Parameters!$C$22=0,0,K9/Parameters!$C$22),IF(Parameters!$D$22=0,0,K9/Parameters!$D$22)))</f>
        <v/>
      </c>
      <c r="M9" s="43">
        <f>IF(B9="PRE",J9*Parameters!$B$11,IF(B9="PRO",J9*Parameters!$C$11,J9*Parameters!$E$11))</f>
        <v/>
      </c>
      <c r="N9" s="43">
        <f>IF(B9="PRE",L9*Parameters!$B$12,IF(B9="PRO",L9*Parameters!$C$12,L9*Parameters!$E$12))</f>
        <v/>
      </c>
      <c r="O9" s="45">
        <f>(M9+N9)*Parameters!$B$5</f>
        <v/>
      </c>
      <c r="P9" s="45">
        <f>IF(B9="PRE",L9*Parameters!$B$23,IF(B9="PRO",L9*Parameters!$C$23,IF(Parameters!$D$22=0,J9*Parameters!$D$23,L9*Parameters!$D$23)))</f>
        <v/>
      </c>
      <c r="Q9" s="45">
        <f>O9+P9</f>
        <v/>
      </c>
      <c r="R9" s="45">
        <f>IF(OR(B9="PRE",B9="PRO"),Q9*$B$3,0)</f>
        <v/>
      </c>
      <c r="S9" s="45">
        <f>Q9+R9</f>
        <v/>
      </c>
    </row>
    <row r="10">
      <c r="A10">
        <f>Measurement!A7</f>
        <v/>
      </c>
      <c r="B10">
        <f>Measurement!B7</f>
        <v/>
      </c>
      <c r="C10">
        <f>Measurement!C7</f>
        <v/>
      </c>
      <c r="D10" s="43">
        <f>Measurement!D7</f>
        <v/>
      </c>
      <c r="E10" s="43">
        <f>Measurement!J7</f>
        <v/>
      </c>
      <c r="F10" s="43">
        <f>Measurement!E7</f>
        <v/>
      </c>
      <c r="G10" s="67">
        <f>Measurement!F7</f>
        <v/>
      </c>
      <c r="H10" s="67">
        <f>Measurement!I7</f>
        <v/>
      </c>
      <c r="I10" s="32">
        <f>Measurement!G7</f>
        <v/>
      </c>
      <c r="J10" s="42">
        <f>IF(B10="PRE",IF(Parameters!$B$21=0,0,I10/Parameters!$B$21),IF(B10="PRO",IF(Parameters!$C$21=0,0,I10/Parameters!$C$21),IF(Parameters!$D$21=0,0,I10/Parameters!$D$21)))</f>
        <v/>
      </c>
      <c r="K10" s="32">
        <f>Measurement!H7</f>
        <v/>
      </c>
      <c r="L10" s="42">
        <f>IF(B10="PRE",IF(Parameters!$B$22=0,0,K10/Parameters!$B$22),IF(B10="PRO",IF(Parameters!$C$22=0,0,K10/Parameters!$C$22),IF(Parameters!$D$22=0,0,K10/Parameters!$D$22)))</f>
        <v/>
      </c>
      <c r="M10" s="43">
        <f>IF(B10="PRE",J10*Parameters!$B$11,IF(B10="PRO",J10*Parameters!$C$11,J10*Parameters!$E$11))</f>
        <v/>
      </c>
      <c r="N10" s="43">
        <f>IF(B10="PRE",L10*Parameters!$B$12,IF(B10="PRO",L10*Parameters!$C$12,L10*Parameters!$E$12))</f>
        <v/>
      </c>
      <c r="O10" s="45">
        <f>(M10+N10)*Parameters!$B$5</f>
        <v/>
      </c>
      <c r="P10" s="45">
        <f>IF(B10="PRE",L10*Parameters!$B$23,IF(B10="PRO",L10*Parameters!$C$23,IF(Parameters!$D$22=0,J10*Parameters!$D$23,L10*Parameters!$D$23)))</f>
        <v/>
      </c>
      <c r="Q10" s="45">
        <f>O10+P10</f>
        <v/>
      </c>
      <c r="R10" s="45">
        <f>IF(OR(B10="PRE",B10="PRO"),Q10*$B$3,0)</f>
        <v/>
      </c>
      <c r="S10" s="45">
        <f>Q10+R10</f>
        <v/>
      </c>
    </row>
    <row r="11">
      <c r="A11">
        <f>Measurement!A8</f>
        <v/>
      </c>
      <c r="B11">
        <f>Measurement!B8</f>
        <v/>
      </c>
      <c r="C11">
        <f>Measurement!C8</f>
        <v/>
      </c>
      <c r="D11" s="43">
        <f>Measurement!D8</f>
        <v/>
      </c>
      <c r="E11" s="43">
        <f>Measurement!J8</f>
        <v/>
      </c>
      <c r="F11" s="43">
        <f>Measurement!E8</f>
        <v/>
      </c>
      <c r="G11" s="67">
        <f>Measurement!F8</f>
        <v/>
      </c>
      <c r="H11" s="67">
        <f>Measurement!I8</f>
        <v/>
      </c>
      <c r="I11" s="32">
        <f>Measurement!G8</f>
        <v/>
      </c>
      <c r="J11" s="42">
        <f>IF(B11="PRE",IF(Parameters!$B$21=0,0,I11/Parameters!$B$21),IF(B11="PRO",IF(Parameters!$C$21=0,0,I11/Parameters!$C$21),IF(Parameters!$D$21=0,0,I11/Parameters!$D$21)))</f>
        <v/>
      </c>
      <c r="K11" s="32">
        <f>Measurement!H8</f>
        <v/>
      </c>
      <c r="L11" s="42">
        <f>IF(B11="PRE",IF(Parameters!$B$22=0,0,K11/Parameters!$B$22),IF(B11="PRO",IF(Parameters!$C$22=0,0,K11/Parameters!$C$22),IF(Parameters!$D$22=0,0,K11/Parameters!$D$22)))</f>
        <v/>
      </c>
      <c r="M11" s="43">
        <f>IF(B11="PRE",J11*Parameters!$B$11,IF(B11="PRO",J11*Parameters!$C$11,J11*Parameters!$E$11))</f>
        <v/>
      </c>
      <c r="N11" s="43">
        <f>IF(B11="PRE",L11*Parameters!$B$12,IF(B11="PRO",L11*Parameters!$C$12,L11*Parameters!$E$12))</f>
        <v/>
      </c>
      <c r="O11" s="45">
        <f>(M11+N11)*Parameters!$B$5</f>
        <v/>
      </c>
      <c r="P11" s="45">
        <f>IF(B11="PRE",L11*Parameters!$B$23,IF(B11="PRO",L11*Parameters!$C$23,IF(Parameters!$D$22=0,J11*Parameters!$D$23,L11*Parameters!$D$23)))</f>
        <v/>
      </c>
      <c r="Q11" s="45">
        <f>O11+P11</f>
        <v/>
      </c>
      <c r="R11" s="45">
        <f>IF(OR(B11="PRE",B11="PRO"),Q11*$B$3,0)</f>
        <v/>
      </c>
      <c r="S11" s="45">
        <f>Q11+R11</f>
        <v/>
      </c>
    </row>
    <row r="12">
      <c r="A12">
        <f>Measurement!A9</f>
        <v/>
      </c>
      <c r="B12">
        <f>Measurement!B9</f>
        <v/>
      </c>
      <c r="C12">
        <f>Measurement!C9</f>
        <v/>
      </c>
      <c r="D12" s="43">
        <f>Measurement!D9</f>
        <v/>
      </c>
      <c r="E12" s="43">
        <f>Measurement!J9</f>
        <v/>
      </c>
      <c r="F12" s="43">
        <f>Measurement!E9</f>
        <v/>
      </c>
      <c r="G12" s="67">
        <f>Measurement!F9</f>
        <v/>
      </c>
      <c r="H12" s="67">
        <f>Measurement!I9</f>
        <v/>
      </c>
      <c r="I12" s="32">
        <f>Measurement!G9</f>
        <v/>
      </c>
      <c r="J12" s="42">
        <f>IF(B12="PRE",IF(Parameters!$B$21=0,0,I12/Parameters!$B$21),IF(B12="PRO",IF(Parameters!$C$21=0,0,I12/Parameters!$C$21),IF(Parameters!$D$21=0,0,I12/Parameters!$D$21)))</f>
        <v/>
      </c>
      <c r="K12" s="32">
        <f>Measurement!H9</f>
        <v/>
      </c>
      <c r="L12" s="42">
        <f>IF(B12="PRE",IF(Parameters!$B$22=0,0,K12/Parameters!$B$22),IF(B12="PRO",IF(Parameters!$C$22=0,0,K12/Parameters!$C$22),IF(Parameters!$D$22=0,0,K12/Parameters!$D$22)))</f>
        <v/>
      </c>
      <c r="M12" s="43">
        <f>IF(B12="PRE",J12*Parameters!$B$11,IF(B12="PRO",J12*Parameters!$C$11,J12*Parameters!$E$11))</f>
        <v/>
      </c>
      <c r="N12" s="43">
        <f>IF(B12="PRE",L12*Parameters!$B$12,IF(B12="PRO",L12*Parameters!$C$12,L12*Parameters!$E$12))</f>
        <v/>
      </c>
      <c r="O12" s="45">
        <f>(M12+N12)*Parameters!$B$5</f>
        <v/>
      </c>
      <c r="P12" s="45">
        <f>IF(B12="PRE",L12*Parameters!$B$23,IF(B12="PRO",L12*Parameters!$C$23,IF(Parameters!$D$22=0,J12*Parameters!$D$23,L12*Parameters!$D$23)))</f>
        <v/>
      </c>
      <c r="Q12" s="45">
        <f>O12+P12</f>
        <v/>
      </c>
      <c r="R12" s="45">
        <f>IF(OR(B12="PRE",B12="PRO"),Q12*$B$3,0)</f>
        <v/>
      </c>
      <c r="S12" s="45">
        <f>Q12+R12</f>
        <v/>
      </c>
    </row>
    <row r="13">
      <c r="A13">
        <f>Measurement!A10</f>
        <v/>
      </c>
      <c r="B13">
        <f>Measurement!B10</f>
        <v/>
      </c>
      <c r="C13">
        <f>Measurement!C10</f>
        <v/>
      </c>
      <c r="D13" s="43">
        <f>Measurement!D10</f>
        <v/>
      </c>
      <c r="E13" s="43">
        <f>Measurement!J10</f>
        <v/>
      </c>
      <c r="F13" s="43">
        <f>Measurement!E10</f>
        <v/>
      </c>
      <c r="G13" s="67">
        <f>Measurement!F10</f>
        <v/>
      </c>
      <c r="H13" s="67">
        <f>Measurement!I10</f>
        <v/>
      </c>
      <c r="I13" s="32">
        <f>Measurement!G10</f>
        <v/>
      </c>
      <c r="J13" s="42">
        <f>IF(B13="PRE",IF(Parameters!$B$21=0,0,I13/Parameters!$B$21),IF(B13="PRO",IF(Parameters!$C$21=0,0,I13/Parameters!$C$21),IF(Parameters!$D$21=0,0,I13/Parameters!$D$21)))</f>
        <v/>
      </c>
      <c r="K13" s="32">
        <f>Measurement!H10</f>
        <v/>
      </c>
      <c r="L13" s="42">
        <f>IF(B13="PRE",IF(Parameters!$B$22=0,0,K13/Parameters!$B$22),IF(B13="PRO",IF(Parameters!$C$22=0,0,K13/Parameters!$C$22),IF(Parameters!$D$22=0,0,K13/Parameters!$D$22)))</f>
        <v/>
      </c>
      <c r="M13" s="43">
        <f>IF(B13="PRE",J13*Parameters!$B$11,IF(B13="PRO",J13*Parameters!$C$11,J13*Parameters!$E$11))</f>
        <v/>
      </c>
      <c r="N13" s="43">
        <f>IF(B13="PRE",L13*Parameters!$B$12,IF(B13="PRO",L13*Parameters!$C$12,L13*Parameters!$E$12))</f>
        <v/>
      </c>
      <c r="O13" s="45">
        <f>(M13+N13)*Parameters!$B$5</f>
        <v/>
      </c>
      <c r="P13" s="45">
        <f>IF(B13="PRE",L13*Parameters!$B$23,IF(B13="PRO",L13*Parameters!$C$23,IF(Parameters!$D$22=0,J13*Parameters!$D$23,L13*Parameters!$D$23)))</f>
        <v/>
      </c>
      <c r="Q13" s="45">
        <f>O13+P13</f>
        <v/>
      </c>
      <c r="R13" s="45">
        <f>IF(OR(B13="PRE",B13="PRO"),Q13*$B$3,0)</f>
        <v/>
      </c>
      <c r="S13" s="45">
        <f>Q13+R13</f>
        <v/>
      </c>
    </row>
    <row r="14">
      <c r="A14">
        <f>Measurement!A11</f>
        <v/>
      </c>
      <c r="B14">
        <f>Measurement!B11</f>
        <v/>
      </c>
      <c r="C14">
        <f>Measurement!C11</f>
        <v/>
      </c>
      <c r="D14" s="43">
        <f>Measurement!D11</f>
        <v/>
      </c>
      <c r="E14" s="43">
        <f>Measurement!J11</f>
        <v/>
      </c>
      <c r="F14" s="43">
        <f>Measurement!E11</f>
        <v/>
      </c>
      <c r="G14" s="67">
        <f>Measurement!F11</f>
        <v/>
      </c>
      <c r="H14" s="67">
        <f>Measurement!I11</f>
        <v/>
      </c>
      <c r="I14" s="32">
        <f>Measurement!G11</f>
        <v/>
      </c>
      <c r="J14" s="42">
        <f>IF(B14="PRE",IF(Parameters!$B$21=0,0,I14/Parameters!$B$21),IF(B14="PRO",IF(Parameters!$C$21=0,0,I14/Parameters!$C$21),IF(Parameters!$D$21=0,0,I14/Parameters!$D$21)))</f>
        <v/>
      </c>
      <c r="K14" s="32">
        <f>Measurement!H11</f>
        <v/>
      </c>
      <c r="L14" s="42">
        <f>IF(B14="PRE",IF(Parameters!$B$22=0,0,K14/Parameters!$B$22),IF(B14="PRO",IF(Parameters!$C$22=0,0,K14/Parameters!$C$22),IF(Parameters!$D$22=0,0,K14/Parameters!$D$22)))</f>
        <v/>
      </c>
      <c r="M14" s="43">
        <f>IF(B14="PRE",J14*Parameters!$B$11,IF(B14="PRO",J14*Parameters!$C$11,J14*Parameters!$E$11))</f>
        <v/>
      </c>
      <c r="N14" s="43">
        <f>IF(B14="PRE",L14*Parameters!$B$12,IF(B14="PRO",L14*Parameters!$C$12,L14*Parameters!$E$12))</f>
        <v/>
      </c>
      <c r="O14" s="45">
        <f>(M14+N14)*Parameters!$B$5</f>
        <v/>
      </c>
      <c r="P14" s="45">
        <f>IF(B14="PRE",L14*Parameters!$B$23,IF(B14="PRO",L14*Parameters!$C$23,IF(Parameters!$D$22=0,J14*Parameters!$D$23,L14*Parameters!$D$23)))</f>
        <v/>
      </c>
      <c r="Q14" s="45">
        <f>O14+P14</f>
        <v/>
      </c>
      <c r="R14" s="45">
        <f>IF(OR(B14="PRE",B14="PRO"),Q14*$B$3,0)</f>
        <v/>
      </c>
      <c r="S14" s="45">
        <f>Q14+R14</f>
        <v/>
      </c>
    </row>
    <row r="15">
      <c r="A15">
        <f>Measurement!A12</f>
        <v/>
      </c>
      <c r="B15">
        <f>Measurement!B12</f>
        <v/>
      </c>
      <c r="C15">
        <f>Measurement!C12</f>
        <v/>
      </c>
      <c r="D15" s="43">
        <f>Measurement!D12</f>
        <v/>
      </c>
      <c r="E15" s="43">
        <f>Measurement!J12</f>
        <v/>
      </c>
      <c r="F15" s="43">
        <f>Measurement!E12</f>
        <v/>
      </c>
      <c r="G15" s="67">
        <f>Measurement!F12</f>
        <v/>
      </c>
      <c r="H15" s="67">
        <f>Measurement!I12</f>
        <v/>
      </c>
      <c r="I15" s="32">
        <f>Measurement!G12</f>
        <v/>
      </c>
      <c r="J15" s="42">
        <f>IF(B15="PRE",IF(Parameters!$B$21=0,0,I15/Parameters!$B$21),IF(B15="PRO",IF(Parameters!$C$21=0,0,I15/Parameters!$C$21),IF(Parameters!$D$21=0,0,I15/Parameters!$D$21)))</f>
        <v/>
      </c>
      <c r="K15" s="32">
        <f>Measurement!H12</f>
        <v/>
      </c>
      <c r="L15" s="42">
        <f>IF(B15="PRE",IF(Parameters!$B$22=0,0,K15/Parameters!$B$22),IF(B15="PRO",IF(Parameters!$C$22=0,0,K15/Parameters!$C$22),IF(Parameters!$D$22=0,0,K15/Parameters!$D$22)))</f>
        <v/>
      </c>
      <c r="M15" s="43">
        <f>IF(B15="PRE",J15*Parameters!$B$11,IF(B15="PRO",J15*Parameters!$C$11,J15*Parameters!$E$11))</f>
        <v/>
      </c>
      <c r="N15" s="43">
        <f>IF(B15="PRE",L15*Parameters!$B$12,IF(B15="PRO",L15*Parameters!$C$12,L15*Parameters!$E$12))</f>
        <v/>
      </c>
      <c r="O15" s="45">
        <f>(M15+N15)*Parameters!$B$5</f>
        <v/>
      </c>
      <c r="P15" s="45">
        <f>IF(B15="PRE",L15*Parameters!$B$23,IF(B15="PRO",L15*Parameters!$C$23,IF(Parameters!$D$22=0,J15*Parameters!$D$23,L15*Parameters!$D$23)))</f>
        <v/>
      </c>
      <c r="Q15" s="45">
        <f>O15+P15</f>
        <v/>
      </c>
      <c r="R15" s="45">
        <f>IF(OR(B15="PRE",B15="PRO"),Q15*$B$3,0)</f>
        <v/>
      </c>
      <c r="S15" s="45">
        <f>Q15+R15</f>
        <v/>
      </c>
    </row>
    <row r="16">
      <c r="A16">
        <f>Measurement!A13</f>
        <v/>
      </c>
      <c r="B16">
        <f>Measurement!B13</f>
        <v/>
      </c>
      <c r="C16">
        <f>Measurement!C13</f>
        <v/>
      </c>
      <c r="D16" s="43">
        <f>Measurement!D13</f>
        <v/>
      </c>
      <c r="E16" s="43">
        <f>Measurement!J13</f>
        <v/>
      </c>
      <c r="F16" s="43">
        <f>Measurement!E13</f>
        <v/>
      </c>
      <c r="G16" s="67">
        <f>Measurement!F13</f>
        <v/>
      </c>
      <c r="H16" s="67">
        <f>Measurement!I13</f>
        <v/>
      </c>
      <c r="I16" s="32">
        <f>Measurement!G13</f>
        <v/>
      </c>
      <c r="J16" s="42">
        <f>IF(B16="PRE",IF(Parameters!$B$21=0,0,I16/Parameters!$B$21),IF(B16="PRO",IF(Parameters!$C$21=0,0,I16/Parameters!$C$21),IF(Parameters!$D$21=0,0,I16/Parameters!$D$21)))</f>
        <v/>
      </c>
      <c r="K16" s="32">
        <f>Measurement!H13</f>
        <v/>
      </c>
      <c r="L16" s="42">
        <f>IF(B16="PRE",IF(Parameters!$B$22=0,0,K16/Parameters!$B$22),IF(B16="PRO",IF(Parameters!$C$22=0,0,K16/Parameters!$C$22),IF(Parameters!$D$22=0,0,K16/Parameters!$D$22)))</f>
        <v/>
      </c>
      <c r="M16" s="43">
        <f>IF(B16="PRE",J16*Parameters!$B$11,IF(B16="PRO",J16*Parameters!$C$11,J16*Parameters!$E$11))</f>
        <v/>
      </c>
      <c r="N16" s="43">
        <f>IF(B16="PRE",L16*Parameters!$B$12,IF(B16="PRO",L16*Parameters!$C$12,L16*Parameters!$E$12))</f>
        <v/>
      </c>
      <c r="O16" s="45">
        <f>(M16+N16)*Parameters!$B$5</f>
        <v/>
      </c>
      <c r="P16" s="45">
        <f>IF(B16="PRE",L16*Parameters!$B$23,IF(B16="PRO",L16*Parameters!$C$23,IF(Parameters!$D$22=0,J16*Parameters!$D$23,L16*Parameters!$D$23)))</f>
        <v/>
      </c>
      <c r="Q16" s="45">
        <f>O16+P16</f>
        <v/>
      </c>
      <c r="R16" s="45">
        <f>IF(OR(B16="PRE",B16="PRO"),Q16*$B$3,0)</f>
        <v/>
      </c>
      <c r="S16" s="45">
        <f>Q16+R16</f>
        <v/>
      </c>
    </row>
    <row r="17">
      <c r="A17">
        <f>Measurement!A14</f>
        <v/>
      </c>
      <c r="B17">
        <f>Measurement!B14</f>
        <v/>
      </c>
      <c r="C17">
        <f>Measurement!C14</f>
        <v/>
      </c>
      <c r="D17" s="43">
        <f>Measurement!D14</f>
        <v/>
      </c>
      <c r="E17" s="43">
        <f>Measurement!J14</f>
        <v/>
      </c>
      <c r="F17" s="43">
        <f>Measurement!E14</f>
        <v/>
      </c>
      <c r="G17" s="67">
        <f>Measurement!F14</f>
        <v/>
      </c>
      <c r="H17" s="67">
        <f>Measurement!I14</f>
        <v/>
      </c>
      <c r="I17" s="32">
        <f>Measurement!G14</f>
        <v/>
      </c>
      <c r="J17" s="42">
        <f>IF(B17="PRE",IF(Parameters!$B$21=0,0,I17/Parameters!$B$21),IF(B17="PRO",IF(Parameters!$C$21=0,0,I17/Parameters!$C$21),IF(Parameters!$D$21=0,0,I17/Parameters!$D$21)))</f>
        <v/>
      </c>
      <c r="K17" s="32">
        <f>Measurement!H14</f>
        <v/>
      </c>
      <c r="L17" s="42">
        <f>IF(B17="PRE",IF(Parameters!$B$22=0,0,K17/Parameters!$B$22),IF(B17="PRO",IF(Parameters!$C$22=0,0,K17/Parameters!$C$22),IF(Parameters!$D$22=0,0,K17/Parameters!$D$22)))</f>
        <v/>
      </c>
      <c r="M17" s="43">
        <f>IF(B17="PRE",J17*Parameters!$B$11,IF(B17="PRO",J17*Parameters!$C$11,J17*Parameters!$E$11))</f>
        <v/>
      </c>
      <c r="N17" s="43">
        <f>IF(B17="PRE",L17*Parameters!$B$12,IF(B17="PRO",L17*Parameters!$C$12,L17*Parameters!$E$12))</f>
        <v/>
      </c>
      <c r="O17" s="45">
        <f>(M17+N17)*Parameters!$B$5</f>
        <v/>
      </c>
      <c r="P17" s="45">
        <f>IF(B17="PRE",L17*Parameters!$B$23,IF(B17="PRO",L17*Parameters!$C$23,IF(Parameters!$D$22=0,J17*Parameters!$D$23,L17*Parameters!$D$23)))</f>
        <v/>
      </c>
      <c r="Q17" s="45">
        <f>O17+P17</f>
        <v/>
      </c>
      <c r="R17" s="45">
        <f>IF(OR(B17="PRE",B17="PRO"),Q17*$B$3,0)</f>
        <v/>
      </c>
      <c r="S17" s="45">
        <f>Q17+R17</f>
        <v/>
      </c>
    </row>
    <row r="18">
      <c r="A18">
        <f>Measurement!A15</f>
        <v/>
      </c>
      <c r="B18">
        <f>Measurement!B15</f>
        <v/>
      </c>
      <c r="C18">
        <f>Measurement!C15</f>
        <v/>
      </c>
      <c r="D18" s="43">
        <f>Measurement!D15</f>
        <v/>
      </c>
      <c r="E18" s="43">
        <f>Measurement!J15</f>
        <v/>
      </c>
      <c r="F18" s="43">
        <f>Measurement!E15</f>
        <v/>
      </c>
      <c r="G18" s="67">
        <f>Measurement!F15</f>
        <v/>
      </c>
      <c r="H18" s="67">
        <f>Measurement!I15</f>
        <v/>
      </c>
      <c r="I18" s="32">
        <f>Measurement!G15</f>
        <v/>
      </c>
      <c r="J18" s="42">
        <f>IF(B18="PRE",IF(Parameters!$B$21=0,0,I18/Parameters!$B$21),IF(B18="PRO",IF(Parameters!$C$21=0,0,I18/Parameters!$C$21),IF(Parameters!$D$21=0,0,I18/Parameters!$D$21)))</f>
        <v/>
      </c>
      <c r="K18" s="32">
        <f>Measurement!H15</f>
        <v/>
      </c>
      <c r="L18" s="42">
        <f>IF(B18="PRE",IF(Parameters!$B$22=0,0,K18/Parameters!$B$22),IF(B18="PRO",IF(Parameters!$C$22=0,0,K18/Parameters!$C$22),IF(Parameters!$D$22=0,0,K18/Parameters!$D$22)))</f>
        <v/>
      </c>
      <c r="M18" s="43">
        <f>IF(B18="PRE",J18*Parameters!$B$11,IF(B18="PRO",J18*Parameters!$C$11,J18*Parameters!$E$11))</f>
        <v/>
      </c>
      <c r="N18" s="43">
        <f>IF(B18="PRE",L18*Parameters!$B$12,IF(B18="PRO",L18*Parameters!$C$12,L18*Parameters!$E$12))</f>
        <v/>
      </c>
      <c r="O18" s="45">
        <f>(M18+N18)*Parameters!$B$5</f>
        <v/>
      </c>
      <c r="P18" s="45">
        <f>IF(B18="PRE",L18*Parameters!$B$23,IF(B18="PRO",L18*Parameters!$C$23,IF(Parameters!$D$22=0,J18*Parameters!$D$23,L18*Parameters!$D$23)))</f>
        <v/>
      </c>
      <c r="Q18" s="45">
        <f>O18+P18</f>
        <v/>
      </c>
      <c r="R18" s="45">
        <f>IF(OR(B18="PRE",B18="PRO"),Q18*$B$3,0)</f>
        <v/>
      </c>
      <c r="S18" s="45">
        <f>Q18+R18</f>
        <v/>
      </c>
    </row>
    <row r="19">
      <c r="A19">
        <f>Measurement!A16</f>
        <v/>
      </c>
      <c r="B19">
        <f>Measurement!B16</f>
        <v/>
      </c>
      <c r="C19">
        <f>Measurement!C16</f>
        <v/>
      </c>
      <c r="D19" s="43">
        <f>Measurement!D16</f>
        <v/>
      </c>
      <c r="E19" s="43">
        <f>Measurement!J16</f>
        <v/>
      </c>
      <c r="F19" s="43">
        <f>Measurement!E16</f>
        <v/>
      </c>
      <c r="G19" s="67">
        <f>Measurement!F16</f>
        <v/>
      </c>
      <c r="H19" s="67">
        <f>Measurement!I16</f>
        <v/>
      </c>
      <c r="I19" s="32">
        <f>Measurement!G16</f>
        <v/>
      </c>
      <c r="J19" s="42">
        <f>IF(B19="PRE",IF(Parameters!$B$21=0,0,I19/Parameters!$B$21),IF(B19="PRO",IF(Parameters!$C$21=0,0,I19/Parameters!$C$21),IF(Parameters!$D$21=0,0,I19/Parameters!$D$21)))</f>
        <v/>
      </c>
      <c r="K19" s="32">
        <f>Measurement!H16</f>
        <v/>
      </c>
      <c r="L19" s="42">
        <f>IF(B19="PRE",IF(Parameters!$B$22=0,0,K19/Parameters!$B$22),IF(B19="PRO",IF(Parameters!$C$22=0,0,K19/Parameters!$C$22),IF(Parameters!$D$22=0,0,K19/Parameters!$D$22)))</f>
        <v/>
      </c>
      <c r="M19" s="43">
        <f>IF(B19="PRE",J19*Parameters!$B$11,IF(B19="PRO",J19*Parameters!$C$11,J19*Parameters!$E$11))</f>
        <v/>
      </c>
      <c r="N19" s="43">
        <f>IF(B19="PRE",L19*Parameters!$B$12,IF(B19="PRO",L19*Parameters!$C$12,L19*Parameters!$E$12))</f>
        <v/>
      </c>
      <c r="O19" s="45">
        <f>(M19+N19)*Parameters!$B$5</f>
        <v/>
      </c>
      <c r="P19" s="45">
        <f>IF(B19="PRE",L19*Parameters!$B$23,IF(B19="PRO",L19*Parameters!$C$23,IF(Parameters!$D$22=0,J19*Parameters!$D$23,L19*Parameters!$D$23)))</f>
        <v/>
      </c>
      <c r="Q19" s="45">
        <f>O19+P19</f>
        <v/>
      </c>
      <c r="R19" s="45">
        <f>IF(OR(B19="PRE",B19="PRO"),Q19*$B$3,0)</f>
        <v/>
      </c>
      <c r="S19" s="45">
        <f>Q19+R19</f>
        <v/>
      </c>
    </row>
    <row r="20">
      <c r="A20">
        <f>Measurement!A17</f>
        <v/>
      </c>
      <c r="B20">
        <f>Measurement!B17</f>
        <v/>
      </c>
      <c r="C20">
        <f>Measurement!C17</f>
        <v/>
      </c>
      <c r="D20" s="43">
        <f>Measurement!D17</f>
        <v/>
      </c>
      <c r="E20" s="43">
        <f>Measurement!J17</f>
        <v/>
      </c>
      <c r="F20" s="43">
        <f>Measurement!E17</f>
        <v/>
      </c>
      <c r="G20" s="67">
        <f>Measurement!F17</f>
        <v/>
      </c>
      <c r="H20" s="67">
        <f>Measurement!I17</f>
        <v/>
      </c>
      <c r="I20" s="32">
        <f>Measurement!G17</f>
        <v/>
      </c>
      <c r="J20" s="42">
        <f>IF(B20="PRE",IF(Parameters!$B$21=0,0,I20/Parameters!$B$21),IF(B20="PRO",IF(Parameters!$C$21=0,0,I20/Parameters!$C$21),IF(Parameters!$D$21=0,0,I20/Parameters!$D$21)))</f>
        <v/>
      </c>
      <c r="K20" s="32">
        <f>Measurement!H17</f>
        <v/>
      </c>
      <c r="L20" s="42">
        <f>IF(B20="PRE",IF(Parameters!$B$22=0,0,K20/Parameters!$B$22),IF(B20="PRO",IF(Parameters!$C$22=0,0,K20/Parameters!$C$22),IF(Parameters!$D$22=0,0,K20/Parameters!$D$22)))</f>
        <v/>
      </c>
      <c r="M20" s="43">
        <f>IF(B20="PRE",J20*Parameters!$B$11,IF(B20="PRO",J20*Parameters!$C$11,J20*Parameters!$E$11))</f>
        <v/>
      </c>
      <c r="N20" s="43">
        <f>IF(B20="PRE",L20*Parameters!$B$12,IF(B20="PRO",L20*Parameters!$C$12,L20*Parameters!$E$12))</f>
        <v/>
      </c>
      <c r="O20" s="45">
        <f>(M20+N20)*Parameters!$B$5</f>
        <v/>
      </c>
      <c r="P20" s="45">
        <f>IF(B20="PRE",L20*Parameters!$B$23,IF(B20="PRO",L20*Parameters!$C$23,IF(Parameters!$D$22=0,J20*Parameters!$D$23,L20*Parameters!$D$23)))</f>
        <v/>
      </c>
      <c r="Q20" s="45">
        <f>O20+P20</f>
        <v/>
      </c>
      <c r="R20" s="45">
        <f>IF(OR(B20="PRE",B20="PRO"),Q20*$B$3,0)</f>
        <v/>
      </c>
      <c r="S20" s="45">
        <f>Q20+R20</f>
        <v/>
      </c>
    </row>
    <row r="21" ht="36" customHeight="1" s="58">
      <c r="A21">
        <f>Measurement!A18</f>
        <v/>
      </c>
      <c r="B21">
        <f>Measurement!B18</f>
        <v/>
      </c>
      <c r="C21">
        <f>Measurement!C18</f>
        <v/>
      </c>
      <c r="D21" s="43">
        <f>Measurement!D18</f>
        <v/>
      </c>
      <c r="E21" s="43">
        <f>Measurement!J18</f>
        <v/>
      </c>
      <c r="F21" s="43">
        <f>Measurement!E18</f>
        <v/>
      </c>
      <c r="G21" s="67">
        <f>Measurement!F18</f>
        <v/>
      </c>
      <c r="H21" s="67">
        <f>Measurement!I18</f>
        <v/>
      </c>
      <c r="I21" s="32">
        <f>Measurement!G18</f>
        <v/>
      </c>
      <c r="J21" s="42">
        <f>IF(B21="PRE",IF(Parameters!$B$21=0,0,I21/Parameters!$B$21),IF(B21="PRO",IF(Parameters!$C$21=0,0,I21/Parameters!$C$21),IF(Parameters!$D$21=0,0,I21/Parameters!$D$21)))</f>
        <v/>
      </c>
      <c r="K21" s="32">
        <f>Measurement!H18</f>
        <v/>
      </c>
      <c r="L21" s="42">
        <f>IF(B21="PRE",IF(Parameters!$B$22=0,0,K21/Parameters!$B$22),IF(B21="PRO",IF(Parameters!$C$22=0,0,K21/Parameters!$C$22),IF(Parameters!$D$22=0,0,K21/Parameters!$D$22)))</f>
        <v/>
      </c>
      <c r="M21" s="43">
        <f>IF(B21="PRE",J21*Parameters!$B$11,IF(B21="PRO",J21*Parameters!$C$11,J21*Parameters!$E$11))</f>
        <v/>
      </c>
      <c r="N21" s="43">
        <f>IF(B21="PRE",L21*Parameters!$B$12,IF(B21="PRO",L21*Parameters!$C$12,L21*Parameters!$E$12))</f>
        <v/>
      </c>
      <c r="O21" s="45">
        <f>(M21+N21)*Parameters!$B$5</f>
        <v/>
      </c>
      <c r="P21" s="45">
        <f>IF(B21="PRE",L21*Parameters!$B$23,IF(B21="PRO",L21*Parameters!$C$23,IF(Parameters!$D$22=0,J21*Parameters!$D$23,L21*Parameters!$D$23)))</f>
        <v/>
      </c>
      <c r="Q21" s="45">
        <f>O21+P21</f>
        <v/>
      </c>
      <c r="R21" s="45">
        <f>IF(OR(B21="PRE",B21="PRO"),Q21*$B$3,0)</f>
        <v/>
      </c>
      <c r="S21" s="45">
        <f>Q21+R21</f>
        <v/>
      </c>
    </row>
    <row r="22">
      <c r="A22">
        <f>Measurement!A19</f>
        <v/>
      </c>
      <c r="B22">
        <f>Measurement!B19</f>
        <v/>
      </c>
      <c r="C22">
        <f>Measurement!C19</f>
        <v/>
      </c>
      <c r="D22" s="43">
        <f>Measurement!D19</f>
        <v/>
      </c>
      <c r="E22" s="43">
        <f>Measurement!J19</f>
        <v/>
      </c>
      <c r="F22" s="43">
        <f>Measurement!E19</f>
        <v/>
      </c>
      <c r="G22" s="67">
        <f>Measurement!F19</f>
        <v/>
      </c>
      <c r="H22" s="67">
        <f>Measurement!I19</f>
        <v/>
      </c>
      <c r="I22" s="32">
        <f>Measurement!G19</f>
        <v/>
      </c>
      <c r="J22" s="42">
        <f>IF(B22="PRE",IF(Parameters!$B$21=0,0,I22/Parameters!$B$21),IF(B22="PRO",IF(Parameters!$C$21=0,0,I22/Parameters!$C$21),IF(Parameters!$D$21=0,0,I22/Parameters!$D$21)))</f>
        <v/>
      </c>
      <c r="K22" s="32">
        <f>Measurement!H19</f>
        <v/>
      </c>
      <c r="L22" s="42">
        <f>IF(B22="PRE",IF(Parameters!$B$22=0,0,K22/Parameters!$B$22),IF(B22="PRO",IF(Parameters!$C$22=0,0,K22/Parameters!$C$22),IF(Parameters!$D$22=0,0,K22/Parameters!$D$22)))</f>
        <v/>
      </c>
      <c r="M22" s="43">
        <f>IF(B22="PRE",J22*Parameters!$B$11,IF(B22="PRO",J22*Parameters!$C$11,J22*Parameters!$E$11))</f>
        <v/>
      </c>
      <c r="N22" s="43">
        <f>IF(B22="PRE",L22*Parameters!$B$12,IF(B22="PRO",L22*Parameters!$C$12,L22*Parameters!$E$12))</f>
        <v/>
      </c>
      <c r="O22" s="45">
        <f>(M22+N22)*Parameters!$B$5</f>
        <v/>
      </c>
      <c r="P22" s="45">
        <f>IF(B22="PRE",L22*Parameters!$B$23,IF(B22="PRO",L22*Parameters!$C$23,IF(Parameters!$D$22=0,J22*Parameters!$D$23,L22*Parameters!$D$23)))</f>
        <v/>
      </c>
      <c r="Q22" s="45">
        <f>O22+P22</f>
        <v/>
      </c>
      <c r="R22" s="45">
        <f>IF(OR(B22="PRE",B22="PRO"),Q22*$B$3,0)</f>
        <v/>
      </c>
      <c r="S22" s="45">
        <f>Q22+R22</f>
        <v/>
      </c>
    </row>
    <row r="23">
      <c r="A23">
        <f>Measurement!A20</f>
        <v/>
      </c>
      <c r="B23">
        <f>Measurement!B20</f>
        <v/>
      </c>
      <c r="C23">
        <f>Measurement!C20</f>
        <v/>
      </c>
      <c r="D23" s="43">
        <f>Measurement!D20</f>
        <v/>
      </c>
      <c r="E23" s="43">
        <f>Measurement!J20</f>
        <v/>
      </c>
      <c r="F23" s="43">
        <f>Measurement!E20</f>
        <v/>
      </c>
      <c r="G23" s="67">
        <f>Measurement!F20</f>
        <v/>
      </c>
      <c r="H23" s="67">
        <f>Measurement!I20</f>
        <v/>
      </c>
      <c r="I23" s="32">
        <f>Measurement!G20</f>
        <v/>
      </c>
      <c r="J23" s="42">
        <f>IF(B23="PRE",IF(Parameters!$B$21=0,0,I23/Parameters!$B$21),IF(B23="PRO",IF(Parameters!$C$21=0,0,I23/Parameters!$C$21),IF(Parameters!$D$21=0,0,I23/Parameters!$D$21)))</f>
        <v/>
      </c>
      <c r="K23" s="32">
        <f>Measurement!H20</f>
        <v/>
      </c>
      <c r="L23" s="42">
        <f>IF(B23="PRE",IF(Parameters!$B$22=0,0,K23/Parameters!$B$22),IF(B23="PRO",IF(Parameters!$C$22=0,0,K23/Parameters!$C$22),IF(Parameters!$D$22=0,0,K23/Parameters!$D$22)))</f>
        <v/>
      </c>
      <c r="M23" s="43">
        <f>IF(B23="PRE",J23*Parameters!$B$11,IF(B23="PRO",J23*Parameters!$C$11,J23*Parameters!$E$11))</f>
        <v/>
      </c>
      <c r="N23" s="43">
        <f>IF(B23="PRE",L23*Parameters!$B$12,IF(B23="PRO",L23*Parameters!$C$12,L23*Parameters!$E$12))</f>
        <v/>
      </c>
      <c r="O23" s="45">
        <f>(M23+N23)*Parameters!$B$5</f>
        <v/>
      </c>
      <c r="P23" s="45">
        <f>IF(B23="PRE",L23*Parameters!$B$23,IF(B23="PRO",L23*Parameters!$C$23,IF(Parameters!$D$22=0,J23*Parameters!$D$23,L23*Parameters!$D$23)))</f>
        <v/>
      </c>
      <c r="Q23" s="45">
        <f>O23+P23</f>
        <v/>
      </c>
      <c r="R23" s="45">
        <f>IF(OR(B23="PRE",B23="PRO"),Q23*$B$3,0)</f>
        <v/>
      </c>
      <c r="S23" s="45">
        <f>Q23+R23</f>
        <v/>
      </c>
    </row>
    <row r="24">
      <c r="A24">
        <f>Measurement!A21</f>
        <v/>
      </c>
      <c r="B24">
        <f>Measurement!B21</f>
        <v/>
      </c>
      <c r="C24">
        <f>Measurement!C21</f>
        <v/>
      </c>
      <c r="D24" s="43">
        <f>Measurement!D21</f>
        <v/>
      </c>
      <c r="E24" s="43">
        <f>Measurement!J21</f>
        <v/>
      </c>
      <c r="F24" s="43">
        <f>Measurement!E21</f>
        <v/>
      </c>
      <c r="G24" s="67">
        <f>Measurement!F21</f>
        <v/>
      </c>
      <c r="H24" s="67">
        <f>Measurement!I21</f>
        <v/>
      </c>
      <c r="I24" s="32">
        <f>Measurement!G21</f>
        <v/>
      </c>
      <c r="J24" s="42">
        <f>IF(B24="PRE",IF(Parameters!$B$21=0,0,I24/Parameters!$B$21),IF(B24="PRO",IF(Parameters!$C$21=0,0,I24/Parameters!$C$21),IF(Parameters!$D$21=0,0,I24/Parameters!$D$21)))</f>
        <v/>
      </c>
      <c r="K24" s="32">
        <f>Measurement!H21</f>
        <v/>
      </c>
      <c r="L24" s="42">
        <f>IF(B24="PRE",IF(Parameters!$B$22=0,0,K24/Parameters!$B$22),IF(B24="PRO",IF(Parameters!$C$22=0,0,K24/Parameters!$C$22),IF(Parameters!$D$22=0,0,K24/Parameters!$D$22)))</f>
        <v/>
      </c>
      <c r="M24" s="43">
        <f>IF(B24="PRE",J24*Parameters!$B$11,IF(B24="PRO",J24*Parameters!$C$11,J24*Parameters!$E$11))</f>
        <v/>
      </c>
      <c r="N24" s="43">
        <f>IF(B24="PRE",L24*Parameters!$B$12,IF(B24="PRO",L24*Parameters!$C$12,L24*Parameters!$E$12))</f>
        <v/>
      </c>
      <c r="O24" s="45">
        <f>(M24+N24)*Parameters!$B$5</f>
        <v/>
      </c>
      <c r="P24" s="45">
        <f>IF(B24="PRE",L24*Parameters!$B$23,IF(B24="PRO",L24*Parameters!$C$23,IF(Parameters!$D$22=0,J24*Parameters!$D$23,L24*Parameters!$D$23)))</f>
        <v/>
      </c>
      <c r="Q24" s="45">
        <f>O24+P24</f>
        <v/>
      </c>
      <c r="R24" s="45">
        <f>IF(OR(B24="PRE",B24="PRO"),Q24*$B$3,0)</f>
        <v/>
      </c>
      <c r="S24" s="45">
        <f>Q24+R24</f>
        <v/>
      </c>
    </row>
    <row r="25">
      <c r="A25">
        <f>Measurement!A22</f>
        <v/>
      </c>
      <c r="B25">
        <f>Measurement!B22</f>
        <v/>
      </c>
      <c r="C25">
        <f>Measurement!C22</f>
        <v/>
      </c>
      <c r="D25" s="43">
        <f>Measurement!D22</f>
        <v/>
      </c>
      <c r="E25" s="43">
        <f>Measurement!J22</f>
        <v/>
      </c>
      <c r="F25" s="43">
        <f>Measurement!E22</f>
        <v/>
      </c>
      <c r="G25" s="67">
        <f>Measurement!F22</f>
        <v/>
      </c>
      <c r="H25" s="67">
        <f>Measurement!I22</f>
        <v/>
      </c>
      <c r="I25" s="32">
        <f>Measurement!G22</f>
        <v/>
      </c>
      <c r="J25" s="42">
        <f>IF(B25="PRE",IF(Parameters!$B$21=0,0,I25/Parameters!$B$21),IF(B25="PRO",IF(Parameters!$C$21=0,0,I25/Parameters!$C$21),IF(Parameters!$D$21=0,0,I25/Parameters!$D$21)))</f>
        <v/>
      </c>
      <c r="K25" s="32">
        <f>Measurement!H22</f>
        <v/>
      </c>
      <c r="L25" s="42">
        <f>IF(B25="PRE",IF(Parameters!$B$22=0,0,K25/Parameters!$B$22),IF(B25="PRO",IF(Parameters!$C$22=0,0,K25/Parameters!$C$22),IF(Parameters!$D$22=0,0,K25/Parameters!$D$22)))</f>
        <v/>
      </c>
      <c r="M25" s="43">
        <f>IF(B25="PRE",J25*Parameters!$B$11,IF(B25="PRO",J25*Parameters!$C$11,J25*Parameters!$E$11))</f>
        <v/>
      </c>
      <c r="N25" s="43">
        <f>IF(B25="PRE",L25*Parameters!$B$12,IF(B25="PRO",L25*Parameters!$C$12,L25*Parameters!$E$12))</f>
        <v/>
      </c>
      <c r="O25" s="45">
        <f>(M25+N25)*Parameters!$B$5</f>
        <v/>
      </c>
      <c r="P25" s="45">
        <f>IF(B25="PRE",L25*Parameters!$B$23,IF(B25="PRO",L25*Parameters!$C$23,IF(Parameters!$D$22=0,J25*Parameters!$D$23,L25*Parameters!$D$23)))</f>
        <v/>
      </c>
      <c r="Q25" s="45">
        <f>O25+P25</f>
        <v/>
      </c>
      <c r="R25" s="45">
        <f>IF(OR(B25="PRE",B25="PRO"),Q25*$B$3,0)</f>
        <v/>
      </c>
      <c r="S25" s="45">
        <f>Q25+R25</f>
        <v/>
      </c>
    </row>
    <row r="26">
      <c r="A26">
        <f>Measurement!A23</f>
        <v/>
      </c>
      <c r="B26">
        <f>Measurement!B23</f>
        <v/>
      </c>
      <c r="C26">
        <f>Measurement!C23</f>
        <v/>
      </c>
      <c r="D26" s="43">
        <f>Measurement!D23</f>
        <v/>
      </c>
      <c r="E26" s="43">
        <f>Measurement!J23</f>
        <v/>
      </c>
      <c r="F26" s="43">
        <f>Measurement!E23</f>
        <v/>
      </c>
      <c r="G26" s="67">
        <f>Measurement!F23</f>
        <v/>
      </c>
      <c r="H26" s="67">
        <f>Measurement!I23</f>
        <v/>
      </c>
      <c r="I26" s="32">
        <f>Measurement!G23</f>
        <v/>
      </c>
      <c r="J26" s="42">
        <f>IF(B26="PRE",IF(Parameters!$B$21=0,0,I26/Parameters!$B$21),IF(B26="PRO",IF(Parameters!$C$21=0,0,I26/Parameters!$C$21),IF(Parameters!$D$21=0,0,I26/Parameters!$D$21)))</f>
        <v/>
      </c>
      <c r="K26" s="32">
        <f>Measurement!H23</f>
        <v/>
      </c>
      <c r="L26" s="42">
        <f>IF(B26="PRE",IF(Parameters!$B$22=0,0,K26/Parameters!$B$22),IF(B26="PRO",IF(Parameters!$C$22=0,0,K26/Parameters!$C$22),IF(Parameters!$D$22=0,0,K26/Parameters!$D$22)))</f>
        <v/>
      </c>
      <c r="M26" s="43">
        <f>IF(B26="PRE",J26*Parameters!$B$11,IF(B26="PRO",J26*Parameters!$C$11,J26*Parameters!$E$11))</f>
        <v/>
      </c>
      <c r="N26" s="43">
        <f>IF(B26="PRE",L26*Parameters!$B$12,IF(B26="PRO",L26*Parameters!$C$12,L26*Parameters!$E$12))</f>
        <v/>
      </c>
      <c r="O26" s="45">
        <f>(M26+N26)*Parameters!$B$5</f>
        <v/>
      </c>
      <c r="P26" s="45">
        <f>IF(B26="PRE",L26*Parameters!$B$23,IF(B26="PRO",L26*Parameters!$C$23,IF(Parameters!$D$22=0,J26*Parameters!$D$23,L26*Parameters!$D$23)))</f>
        <v/>
      </c>
      <c r="Q26" s="45">
        <f>O26+P26</f>
        <v/>
      </c>
      <c r="R26" s="45">
        <f>IF(OR(B26="PRE",B26="PRO"),Q26*$B$3,0)</f>
        <v/>
      </c>
      <c r="S26" s="45">
        <f>Q26+R26</f>
        <v/>
      </c>
    </row>
    <row r="27">
      <c r="A27">
        <f>Measurement!A24</f>
        <v/>
      </c>
      <c r="B27">
        <f>Measurement!B24</f>
        <v/>
      </c>
      <c r="C27">
        <f>Measurement!C24</f>
        <v/>
      </c>
      <c r="D27" s="43">
        <f>Measurement!D24</f>
        <v/>
      </c>
      <c r="E27" s="43">
        <f>Measurement!J24</f>
        <v/>
      </c>
      <c r="F27" s="43">
        <f>Measurement!E24</f>
        <v/>
      </c>
      <c r="G27" s="67">
        <f>Measurement!F24</f>
        <v/>
      </c>
      <c r="H27" s="67">
        <f>Measurement!I24</f>
        <v/>
      </c>
      <c r="I27" s="32">
        <f>Measurement!G24</f>
        <v/>
      </c>
      <c r="J27" s="42">
        <f>IF(B27="PRE",IF(Parameters!$B$21=0,0,I27/Parameters!$B$21),IF(B27="PRO",IF(Parameters!$C$21=0,0,I27/Parameters!$C$21),IF(Parameters!$D$21=0,0,I27/Parameters!$D$21)))</f>
        <v/>
      </c>
      <c r="K27" s="32">
        <f>Measurement!H24</f>
        <v/>
      </c>
      <c r="L27" s="42">
        <f>IF(B27="PRE",IF(Parameters!$B$22=0,0,K27/Parameters!$B$22),IF(B27="PRO",IF(Parameters!$C$22=0,0,K27/Parameters!$C$22),IF(Parameters!$D$22=0,0,K27/Parameters!$D$22)))</f>
        <v/>
      </c>
      <c r="M27" s="43">
        <f>IF(B27="PRE",J27*Parameters!$B$11,IF(B27="PRO",J27*Parameters!$C$11,J27*Parameters!$E$11))</f>
        <v/>
      </c>
      <c r="N27" s="43">
        <f>IF(B27="PRE",L27*Parameters!$B$12,IF(B27="PRO",L27*Parameters!$C$12,L27*Parameters!$E$12))</f>
        <v/>
      </c>
      <c r="O27" s="45">
        <f>(M27+N27)*Parameters!$B$5</f>
        <v/>
      </c>
      <c r="P27" s="45">
        <f>IF(B27="PRE",L27*Parameters!$B$23,IF(B27="PRO",L27*Parameters!$C$23,IF(Parameters!$D$22=0,J27*Parameters!$D$23,L27*Parameters!$D$23)))</f>
        <v/>
      </c>
      <c r="Q27" s="45">
        <f>O27+P27</f>
        <v/>
      </c>
      <c r="R27" s="45">
        <f>IF(OR(B27="PRE",B27="PRO"),Q27*$B$3,0)</f>
        <v/>
      </c>
      <c r="S27" s="45">
        <f>Q27+R27</f>
        <v/>
      </c>
    </row>
    <row r="28">
      <c r="A28">
        <f>Measurement!A25</f>
        <v/>
      </c>
      <c r="B28">
        <f>Measurement!B25</f>
        <v/>
      </c>
      <c r="C28">
        <f>Measurement!C25</f>
        <v/>
      </c>
      <c r="D28" s="43">
        <f>Measurement!D25</f>
        <v/>
      </c>
      <c r="E28" s="43">
        <f>Measurement!J25</f>
        <v/>
      </c>
      <c r="F28" s="43">
        <f>Measurement!E25</f>
        <v/>
      </c>
      <c r="G28" s="67">
        <f>Measurement!F25</f>
        <v/>
      </c>
      <c r="H28" s="67">
        <f>Measurement!I25</f>
        <v/>
      </c>
      <c r="I28" s="32">
        <f>Measurement!G25</f>
        <v/>
      </c>
      <c r="J28" s="42">
        <f>IF(B28="PRE",IF(Parameters!$B$21=0,0,I28/Parameters!$B$21),IF(B28="PRO",IF(Parameters!$C$21=0,0,I28/Parameters!$C$21),IF(Parameters!$D$21=0,0,I28/Parameters!$D$21)))</f>
        <v/>
      </c>
      <c r="K28" s="32">
        <f>Measurement!H25</f>
        <v/>
      </c>
      <c r="L28" s="42">
        <f>IF(B28="PRE",IF(Parameters!$B$22=0,0,K28/Parameters!$B$22),IF(B28="PRO",IF(Parameters!$C$22=0,0,K28/Parameters!$C$22),IF(Parameters!$D$22=0,0,K28/Parameters!$D$22)))</f>
        <v/>
      </c>
      <c r="M28" s="43">
        <f>IF(B28="PRE",J28*Parameters!$B$11,IF(B28="PRO",J28*Parameters!$C$11,J28*Parameters!$E$11))</f>
        <v/>
      </c>
      <c r="N28" s="43">
        <f>IF(B28="PRE",L28*Parameters!$B$12,IF(B28="PRO",L28*Parameters!$C$12,L28*Parameters!$E$12))</f>
        <v/>
      </c>
      <c r="O28" s="45">
        <f>(M28+N28)*Parameters!$B$5</f>
        <v/>
      </c>
      <c r="P28" s="45">
        <f>IF(B28="PRE",L28*Parameters!$B$23,IF(B28="PRO",L28*Parameters!$C$23,IF(Parameters!$D$22=0,J28*Parameters!$D$23,L28*Parameters!$D$23)))</f>
        <v/>
      </c>
      <c r="Q28" s="45">
        <f>O28+P28</f>
        <v/>
      </c>
      <c r="R28" s="45">
        <f>IF(OR(B28="PRE",B28="PRO"),Q28*$B$3,0)</f>
        <v/>
      </c>
      <c r="S28" s="45">
        <f>Q28+R28</f>
        <v/>
      </c>
    </row>
    <row r="29">
      <c r="A29">
        <f>Measurement!A26</f>
        <v/>
      </c>
      <c r="B29">
        <f>Measurement!B26</f>
        <v/>
      </c>
      <c r="C29">
        <f>Measurement!C26</f>
        <v/>
      </c>
      <c r="D29" s="43">
        <f>Measurement!D26</f>
        <v/>
      </c>
      <c r="E29" s="43">
        <f>Measurement!J26</f>
        <v/>
      </c>
      <c r="F29" s="43">
        <f>Measurement!E26</f>
        <v/>
      </c>
      <c r="G29" s="67">
        <f>Measurement!F26</f>
        <v/>
      </c>
      <c r="H29" s="67">
        <f>Measurement!I26</f>
        <v/>
      </c>
      <c r="I29" s="32">
        <f>Measurement!G26</f>
        <v/>
      </c>
      <c r="J29" s="42">
        <f>IF(B29="PRE",IF(Parameters!$B$21=0,0,I29/Parameters!$B$21),IF(B29="PRO",IF(Parameters!$C$21=0,0,I29/Parameters!$C$21),IF(Parameters!$D$21=0,0,I29/Parameters!$D$21)))</f>
        <v/>
      </c>
      <c r="K29" s="32">
        <f>Measurement!H26</f>
        <v/>
      </c>
      <c r="L29" s="42">
        <f>IF(B29="PRE",IF(Parameters!$B$22=0,0,K29/Parameters!$B$22),IF(B29="PRO",IF(Parameters!$C$22=0,0,K29/Parameters!$C$22),IF(Parameters!$D$22=0,0,K29/Parameters!$D$22)))</f>
        <v/>
      </c>
      <c r="M29" s="43">
        <f>IF(B29="PRE",J29*Parameters!$B$11,IF(B29="PRO",J29*Parameters!$C$11,J29*Parameters!$E$11))</f>
        <v/>
      </c>
      <c r="N29" s="43">
        <f>IF(B29="PRE",L29*Parameters!$B$12,IF(B29="PRO",L29*Parameters!$C$12,L29*Parameters!$E$12))</f>
        <v/>
      </c>
      <c r="O29" s="45">
        <f>(M29+N29)*Parameters!$B$5</f>
        <v/>
      </c>
      <c r="P29" s="45">
        <f>IF(B29="PRE",L29*Parameters!$B$23,IF(B29="PRO",L29*Parameters!$C$23,IF(Parameters!$D$22=0,J29*Parameters!$D$23,L29*Parameters!$D$23)))</f>
        <v/>
      </c>
      <c r="Q29" s="45">
        <f>O29+P29</f>
        <v/>
      </c>
      <c r="R29" s="45">
        <f>IF(OR(B29="PRE",B29="PRO"),Q29*$B$3,0)</f>
        <v/>
      </c>
      <c r="S29" s="45">
        <f>Q29+R29</f>
        <v/>
      </c>
    </row>
    <row r="30">
      <c r="A30">
        <f>Measurement!A27</f>
        <v/>
      </c>
      <c r="B30">
        <f>Measurement!B27</f>
        <v/>
      </c>
      <c r="C30">
        <f>Measurement!C27</f>
        <v/>
      </c>
      <c r="D30" s="43">
        <f>Measurement!D27</f>
        <v/>
      </c>
      <c r="E30" s="43">
        <f>Measurement!J27</f>
        <v/>
      </c>
      <c r="F30" s="43">
        <f>Measurement!E27</f>
        <v/>
      </c>
      <c r="G30" s="67">
        <f>Measurement!F27</f>
        <v/>
      </c>
      <c r="H30" s="67">
        <f>Measurement!I27</f>
        <v/>
      </c>
      <c r="I30" s="32">
        <f>Measurement!G27</f>
        <v/>
      </c>
      <c r="J30" s="42">
        <f>IF(B30="PRE",IF(Parameters!$B$21=0,0,I30/Parameters!$B$21),IF(B30="PRO",IF(Parameters!$C$21=0,0,I30/Parameters!$C$21),IF(Parameters!$D$21=0,0,I30/Parameters!$D$21)))</f>
        <v/>
      </c>
      <c r="K30" s="32">
        <f>Measurement!H27</f>
        <v/>
      </c>
      <c r="L30" s="42">
        <f>IF(B30="PRE",IF(Parameters!$B$22=0,0,K30/Parameters!$B$22),IF(B30="PRO",IF(Parameters!$C$22=0,0,K30/Parameters!$C$22),IF(Parameters!$D$22=0,0,K30/Parameters!$D$22)))</f>
        <v/>
      </c>
      <c r="M30" s="43">
        <f>IF(B30="PRE",J30*Parameters!$B$11,IF(B30="PRO",J30*Parameters!$C$11,J30*Parameters!$E$11))</f>
        <v/>
      </c>
      <c r="N30" s="43">
        <f>IF(B30="PRE",L30*Parameters!$B$12,IF(B30="PRO",L30*Parameters!$C$12,L30*Parameters!$E$12))</f>
        <v/>
      </c>
      <c r="O30" s="45">
        <f>(M30+N30)*Parameters!$B$5</f>
        <v/>
      </c>
      <c r="P30" s="45">
        <f>IF(B30="PRE",L30*Parameters!$B$23,IF(B30="PRO",L30*Parameters!$C$23,IF(Parameters!$D$22=0,J30*Parameters!$D$23,L30*Parameters!$D$23)))</f>
        <v/>
      </c>
      <c r="Q30" s="45">
        <f>O30+P30</f>
        <v/>
      </c>
      <c r="R30" s="45">
        <f>IF(OR(B30="PRE",B30="PRO"),Q30*$B$3,0)</f>
        <v/>
      </c>
      <c r="S30" s="45">
        <f>Q30+R30</f>
        <v/>
      </c>
    </row>
    <row r="31">
      <c r="A31">
        <f>Measurement!A28</f>
        <v/>
      </c>
      <c r="B31">
        <f>Measurement!B28</f>
        <v/>
      </c>
      <c r="C31">
        <f>Measurement!C28</f>
        <v/>
      </c>
      <c r="D31" s="43">
        <f>Measurement!D28</f>
        <v/>
      </c>
      <c r="E31" s="43">
        <f>Measurement!J28</f>
        <v/>
      </c>
      <c r="F31" s="43">
        <f>Measurement!E28</f>
        <v/>
      </c>
      <c r="G31" s="67">
        <f>Measurement!F28</f>
        <v/>
      </c>
      <c r="H31" s="67">
        <f>Measurement!I28</f>
        <v/>
      </c>
      <c r="I31" s="32">
        <f>Measurement!G28</f>
        <v/>
      </c>
      <c r="J31" s="42">
        <f>IF(B31="PRE",IF(Parameters!$B$21=0,0,I31/Parameters!$B$21),IF(B31="PRO",IF(Parameters!$C$21=0,0,I31/Parameters!$C$21),IF(Parameters!$D$21=0,0,I31/Parameters!$D$21)))</f>
        <v/>
      </c>
      <c r="K31" s="32">
        <f>Measurement!H28</f>
        <v/>
      </c>
      <c r="L31" s="42">
        <f>IF(B31="PRE",IF(Parameters!$B$22=0,0,K31/Parameters!$B$22),IF(B31="PRO",IF(Parameters!$C$22=0,0,K31/Parameters!$C$22),IF(Parameters!$D$22=0,0,K31/Parameters!$D$22)))</f>
        <v/>
      </c>
      <c r="M31" s="43">
        <f>IF(B31="PRE",J31*Parameters!$B$11,IF(B31="PRO",J31*Parameters!$C$11,J31*Parameters!$E$11))</f>
        <v/>
      </c>
      <c r="N31" s="43">
        <f>IF(B31="PRE",L31*Parameters!$B$12,IF(B31="PRO",L31*Parameters!$C$12,L31*Parameters!$E$12))</f>
        <v/>
      </c>
      <c r="O31" s="45">
        <f>(M31+N31)*Parameters!$B$5</f>
        <v/>
      </c>
      <c r="P31" s="45">
        <f>IF(B31="PRE",L31*Parameters!$B$23,IF(B31="PRO",L31*Parameters!$C$23,IF(Parameters!$D$22=0,J31*Parameters!$D$23,L31*Parameters!$D$23)))</f>
        <v/>
      </c>
      <c r="Q31" s="45">
        <f>O31+P31</f>
        <v/>
      </c>
      <c r="R31" s="45">
        <f>IF(OR(B31="PRE",B31="PRO"),Q31*$B$3,0)</f>
        <v/>
      </c>
      <c r="S31" s="45">
        <f>Q31+R31</f>
        <v/>
      </c>
    </row>
    <row r="32">
      <c r="A32">
        <f>Measurement!A29</f>
        <v/>
      </c>
      <c r="B32">
        <f>Measurement!B29</f>
        <v/>
      </c>
      <c r="C32">
        <f>Measurement!C29</f>
        <v/>
      </c>
      <c r="D32" s="43">
        <f>Measurement!D29</f>
        <v/>
      </c>
      <c r="E32" s="43">
        <f>Measurement!J29</f>
        <v/>
      </c>
      <c r="F32" s="43">
        <f>Measurement!E29</f>
        <v/>
      </c>
      <c r="G32" s="67">
        <f>Measurement!F29</f>
        <v/>
      </c>
      <c r="H32" s="67">
        <f>Measurement!I29</f>
        <v/>
      </c>
      <c r="I32" s="32">
        <f>Measurement!G29</f>
        <v/>
      </c>
      <c r="J32" s="42">
        <f>IF(B32="PRE",IF(Parameters!$B$21=0,0,I32/Parameters!$B$21),IF(B32="PRO",IF(Parameters!$C$21=0,0,I32/Parameters!$C$21),IF(Parameters!$D$21=0,0,I32/Parameters!$D$21)))</f>
        <v/>
      </c>
      <c r="K32" s="32">
        <f>Measurement!H29</f>
        <v/>
      </c>
      <c r="L32" s="42">
        <f>IF(B32="PRE",IF(Parameters!$B$22=0,0,K32/Parameters!$B$22),IF(B32="PRO",IF(Parameters!$C$22=0,0,K32/Parameters!$C$22),IF(Parameters!$D$22=0,0,K32/Parameters!$D$22)))</f>
        <v/>
      </c>
      <c r="M32" s="43">
        <f>IF(B32="PRE",J32*Parameters!$B$11,IF(B32="PRO",J32*Parameters!$C$11,J32*Parameters!$E$11))</f>
        <v/>
      </c>
      <c r="N32" s="43">
        <f>IF(B32="PRE",L32*Parameters!$B$12,IF(B32="PRO",L32*Parameters!$C$12,L32*Parameters!$E$12))</f>
        <v/>
      </c>
      <c r="O32" s="45">
        <f>(M32+N32)*Parameters!$B$5</f>
        <v/>
      </c>
      <c r="P32" s="45">
        <f>IF(B32="PRE",L32*Parameters!$B$23,IF(B32="PRO",L32*Parameters!$C$23,IF(Parameters!$D$22=0,J32*Parameters!$D$23,L32*Parameters!$D$23)))</f>
        <v/>
      </c>
      <c r="Q32" s="45">
        <f>O32+P32</f>
        <v/>
      </c>
      <c r="R32" s="45">
        <f>IF(OR(B32="PRE",B32="PRO"),Q32*$B$3,0)</f>
        <v/>
      </c>
      <c r="S32" s="45">
        <f>Q32+R32</f>
        <v/>
      </c>
    </row>
    <row r="33">
      <c r="A33">
        <f>Measurement!A30</f>
        <v/>
      </c>
      <c r="B33">
        <f>Measurement!B30</f>
        <v/>
      </c>
      <c r="C33">
        <f>Measurement!C30</f>
        <v/>
      </c>
      <c r="D33" s="43">
        <f>Measurement!D30</f>
        <v/>
      </c>
      <c r="E33" s="43">
        <f>Measurement!J30</f>
        <v/>
      </c>
      <c r="F33" s="43">
        <f>Measurement!E30</f>
        <v/>
      </c>
      <c r="G33" s="67">
        <f>Measurement!F30</f>
        <v/>
      </c>
      <c r="H33" s="67">
        <f>Measurement!I30</f>
        <v/>
      </c>
      <c r="I33" s="32">
        <f>Measurement!G30</f>
        <v/>
      </c>
      <c r="J33" s="42">
        <f>IF(B33="PRE",IF(Parameters!$B$21=0,0,I33/Parameters!$B$21),IF(B33="PRO",IF(Parameters!$C$21=0,0,I33/Parameters!$C$21),IF(Parameters!$D$21=0,0,I33/Parameters!$D$21)))</f>
        <v/>
      </c>
      <c r="K33" s="32">
        <f>Measurement!H30</f>
        <v/>
      </c>
      <c r="L33" s="42">
        <f>IF(B33="PRE",IF(Parameters!$B$22=0,0,K33/Parameters!$B$22),IF(B33="PRO",IF(Parameters!$C$22=0,0,K33/Parameters!$C$22),IF(Parameters!$D$22=0,0,K33/Parameters!$D$22)))</f>
        <v/>
      </c>
      <c r="M33" s="43">
        <f>IF(B33="PRE",J33*Parameters!$B$11,IF(B33="PRO",J33*Parameters!$C$11,J33*Parameters!$E$11))</f>
        <v/>
      </c>
      <c r="N33" s="43">
        <f>IF(B33="PRE",L33*Parameters!$B$12,IF(B33="PRO",L33*Parameters!$C$12,L33*Parameters!$E$12))</f>
        <v/>
      </c>
      <c r="O33" s="45">
        <f>(M33+N33)*Parameters!$B$5</f>
        <v/>
      </c>
      <c r="P33" s="45">
        <f>IF(B33="PRE",L33*Parameters!$B$23,IF(B33="PRO",L33*Parameters!$C$23,IF(Parameters!$D$22=0,J33*Parameters!$D$23,L33*Parameters!$D$23)))</f>
        <v/>
      </c>
      <c r="Q33" s="45">
        <f>O33+P33</f>
        <v/>
      </c>
      <c r="R33" s="45">
        <f>IF(OR(B33="PRE",B33="PRO"),Q33*$B$3,0)</f>
        <v/>
      </c>
      <c r="S33" s="45">
        <f>Q33+R33</f>
        <v/>
      </c>
    </row>
    <row r="34">
      <c r="A34">
        <f>Measurement!A31</f>
        <v/>
      </c>
      <c r="B34">
        <f>Measurement!B31</f>
        <v/>
      </c>
      <c r="C34">
        <f>Measurement!C31</f>
        <v/>
      </c>
      <c r="D34" s="43">
        <f>Measurement!D31</f>
        <v/>
      </c>
      <c r="E34" s="43">
        <f>Measurement!J31</f>
        <v/>
      </c>
      <c r="F34" s="43">
        <f>Measurement!E31</f>
        <v/>
      </c>
      <c r="G34" s="67">
        <f>Measurement!F31</f>
        <v/>
      </c>
      <c r="H34" s="67">
        <f>Measurement!I31</f>
        <v/>
      </c>
      <c r="I34" s="32">
        <f>Measurement!G31</f>
        <v/>
      </c>
      <c r="J34" s="42">
        <f>IF(B34="PRE",IF(Parameters!$B$21=0,0,I34/Parameters!$B$21),IF(B34="PRO",IF(Parameters!$C$21=0,0,I34/Parameters!$C$21),IF(Parameters!$D$21=0,0,I34/Parameters!$D$21)))</f>
        <v/>
      </c>
      <c r="K34" s="32">
        <f>Measurement!H31</f>
        <v/>
      </c>
      <c r="L34" s="42">
        <f>IF(B34="PRE",IF(Parameters!$B$22=0,0,K34/Parameters!$B$22),IF(B34="PRO",IF(Parameters!$C$22=0,0,K34/Parameters!$C$22),IF(Parameters!$D$22=0,0,K34/Parameters!$D$22)))</f>
        <v/>
      </c>
      <c r="M34" s="43">
        <f>IF(B34="PRE",J34*Parameters!$B$11,IF(B34="PRO",J34*Parameters!$C$11,J34*Parameters!$E$11))</f>
        <v/>
      </c>
      <c r="N34" s="43">
        <f>IF(B34="PRE",L34*Parameters!$B$12,IF(B34="PRO",L34*Parameters!$C$12,L34*Parameters!$E$12))</f>
        <v/>
      </c>
      <c r="O34" s="45">
        <f>(M34+N34)*Parameters!$B$5</f>
        <v/>
      </c>
      <c r="P34" s="45">
        <f>IF(B34="PRE",L34*Parameters!$B$23,IF(B34="PRO",L34*Parameters!$C$23,IF(Parameters!$D$22=0,J34*Parameters!$D$23,L34*Parameters!$D$23)))</f>
        <v/>
      </c>
      <c r="Q34" s="45">
        <f>O34+P34</f>
        <v/>
      </c>
      <c r="R34" s="45">
        <f>IF(OR(B34="PRE",B34="PRO"),Q34*$B$3,0)</f>
        <v/>
      </c>
      <c r="S34" s="45">
        <f>Q34+R34</f>
        <v/>
      </c>
    </row>
    <row r="35">
      <c r="A35">
        <f>Measurement!A32</f>
        <v/>
      </c>
      <c r="B35">
        <f>Measurement!B32</f>
        <v/>
      </c>
      <c r="C35">
        <f>Measurement!C32</f>
        <v/>
      </c>
      <c r="D35" s="43">
        <f>Measurement!D32</f>
        <v/>
      </c>
      <c r="E35" s="43">
        <f>Measurement!J32</f>
        <v/>
      </c>
      <c r="F35" s="43">
        <f>Measurement!E32</f>
        <v/>
      </c>
      <c r="G35" s="67">
        <f>Measurement!F32</f>
        <v/>
      </c>
      <c r="H35" s="67">
        <f>Measurement!I32</f>
        <v/>
      </c>
      <c r="I35" s="32">
        <f>Measurement!G32</f>
        <v/>
      </c>
      <c r="J35" s="42">
        <f>IF(B35="PRE",IF(Parameters!$B$21=0,0,I35/Parameters!$B$21),IF(B35="PRO",IF(Parameters!$C$21=0,0,I35/Parameters!$C$21),IF(Parameters!$D$21=0,0,I35/Parameters!$D$21)))</f>
        <v/>
      </c>
      <c r="K35" s="32">
        <f>Measurement!H32</f>
        <v/>
      </c>
      <c r="L35" s="42">
        <f>IF(B35="PRE",IF(Parameters!$B$22=0,0,K35/Parameters!$B$22),IF(B35="PRO",IF(Parameters!$C$22=0,0,K35/Parameters!$C$22),IF(Parameters!$D$22=0,0,K35/Parameters!$D$22)))</f>
        <v/>
      </c>
      <c r="M35" s="43">
        <f>IF(B35="PRE",J35*Parameters!$B$11,IF(B35="PRO",J35*Parameters!$C$11,J35*Parameters!$E$11))</f>
        <v/>
      </c>
      <c r="N35" s="43">
        <f>IF(B35="PRE",L35*Parameters!$B$12,IF(B35="PRO",L35*Parameters!$C$12,L35*Parameters!$E$12))</f>
        <v/>
      </c>
      <c r="O35" s="45">
        <f>(M35+N35)*Parameters!$B$5</f>
        <v/>
      </c>
      <c r="P35" s="45">
        <f>IF(B35="PRE",L35*Parameters!$B$23,IF(B35="PRO",L35*Parameters!$C$23,IF(Parameters!$D$22=0,J35*Parameters!$D$23,L35*Parameters!$D$23)))</f>
        <v/>
      </c>
      <c r="Q35" s="45">
        <f>O35+P35</f>
        <v/>
      </c>
      <c r="R35" s="45">
        <f>IF(OR(B35="PRE",B35="PRO"),Q35*$B$3,0)</f>
        <v/>
      </c>
      <c r="S35" s="45">
        <f>Q35+R35</f>
        <v/>
      </c>
    </row>
    <row r="36">
      <c r="A36">
        <f>Measurement!A33</f>
        <v/>
      </c>
      <c r="B36">
        <f>Measurement!B33</f>
        <v/>
      </c>
      <c r="C36">
        <f>Measurement!C33</f>
        <v/>
      </c>
      <c r="D36" s="43">
        <f>Measurement!D33</f>
        <v/>
      </c>
      <c r="E36" s="43">
        <f>Measurement!J33</f>
        <v/>
      </c>
      <c r="F36" s="43">
        <f>Measurement!E33</f>
        <v/>
      </c>
      <c r="G36" s="67">
        <f>Measurement!F33</f>
        <v/>
      </c>
      <c r="H36" s="67">
        <f>Measurement!I33</f>
        <v/>
      </c>
      <c r="I36" s="32">
        <f>Measurement!G33</f>
        <v/>
      </c>
      <c r="J36" s="42">
        <f>IF(B36="PRE",IF(Parameters!$B$21=0,0,I36/Parameters!$B$21),IF(B36="PRO",IF(Parameters!$C$21=0,0,I36/Parameters!$C$21),IF(Parameters!$D$21=0,0,I36/Parameters!$D$21)))</f>
        <v/>
      </c>
      <c r="K36" s="32">
        <f>Measurement!H33</f>
        <v/>
      </c>
      <c r="L36" s="42">
        <f>IF(B36="PRE",IF(Parameters!$B$22=0,0,K36/Parameters!$B$22),IF(B36="PRO",IF(Parameters!$C$22=0,0,K36/Parameters!$C$22),IF(Parameters!$D$22=0,0,K36/Parameters!$D$22)))</f>
        <v/>
      </c>
      <c r="M36" s="43">
        <f>IF(B36="PRE",J36*Parameters!$B$11,IF(B36="PRO",J36*Parameters!$C$11,J36*Parameters!$E$11))</f>
        <v/>
      </c>
      <c r="N36" s="43">
        <f>IF(B36="PRE",L36*Parameters!$B$12,IF(B36="PRO",L36*Parameters!$C$12,L36*Parameters!$E$12))</f>
        <v/>
      </c>
      <c r="O36" s="45">
        <f>(M36+N36)*Parameters!$B$5</f>
        <v/>
      </c>
      <c r="P36" s="45">
        <f>IF(B36="PRE",L36*Parameters!$B$23,IF(B36="PRO",L36*Parameters!$C$23,IF(Parameters!$D$22=0,J36*Parameters!$D$23,L36*Parameters!$D$23)))</f>
        <v/>
      </c>
      <c r="Q36" s="45">
        <f>O36+P36</f>
        <v/>
      </c>
      <c r="R36" s="45">
        <f>IF(OR(B36="PRE",B36="PRO"),Q36*$B$3,0)</f>
        <v/>
      </c>
      <c r="S36" s="45">
        <f>Q36+R36</f>
        <v/>
      </c>
    </row>
    <row r="37">
      <c r="A37">
        <f>Measurement!A34</f>
        <v/>
      </c>
      <c r="B37">
        <f>Measurement!B34</f>
        <v/>
      </c>
      <c r="C37">
        <f>Measurement!C34</f>
        <v/>
      </c>
      <c r="D37" s="43">
        <f>Measurement!D34</f>
        <v/>
      </c>
      <c r="E37" s="43">
        <f>Measurement!J34</f>
        <v/>
      </c>
      <c r="F37" s="43">
        <f>Measurement!E34</f>
        <v/>
      </c>
      <c r="G37" s="67">
        <f>Measurement!F34</f>
        <v/>
      </c>
      <c r="H37" s="67">
        <f>Measurement!I34</f>
        <v/>
      </c>
      <c r="I37" s="32">
        <f>Measurement!G34</f>
        <v/>
      </c>
      <c r="J37" s="42">
        <f>IF(B37="PRE",IF(Parameters!$B$21=0,0,I37/Parameters!$B$21),IF(B37="PRO",IF(Parameters!$C$21=0,0,I37/Parameters!$C$21),IF(Parameters!$D$21=0,0,I37/Parameters!$D$21)))</f>
        <v/>
      </c>
      <c r="K37" s="32">
        <f>Measurement!H34</f>
        <v/>
      </c>
      <c r="L37" s="42">
        <f>IF(B37="PRE",IF(Parameters!$B$22=0,0,K37/Parameters!$B$22),IF(B37="PRO",IF(Parameters!$C$22=0,0,K37/Parameters!$C$22),IF(Parameters!$D$22=0,0,K37/Parameters!$D$22)))</f>
        <v/>
      </c>
      <c r="M37" s="43">
        <f>IF(B37="PRE",J37*Parameters!$B$11,IF(B37="PRO",J37*Parameters!$C$11,J37*Parameters!$E$11))</f>
        <v/>
      </c>
      <c r="N37" s="43">
        <f>IF(B37="PRE",L37*Parameters!$B$12,IF(B37="PRO",L37*Parameters!$C$12,L37*Parameters!$E$12))</f>
        <v/>
      </c>
      <c r="O37" s="45">
        <f>(M37+N37)*Parameters!$B$5</f>
        <v/>
      </c>
      <c r="P37" s="45">
        <f>IF(B37="PRE",L37*Parameters!$B$23,IF(B37="PRO",L37*Parameters!$C$23,IF(Parameters!$D$22=0,J37*Parameters!$D$23,L37*Parameters!$D$23)))</f>
        <v/>
      </c>
      <c r="Q37" s="45">
        <f>O37+P37</f>
        <v/>
      </c>
      <c r="R37" s="45">
        <f>IF(OR(B37="PRE",B37="PRO"),Q37*$B$3,0)</f>
        <v/>
      </c>
      <c r="S37" s="45">
        <f>Q37+R37</f>
        <v/>
      </c>
    </row>
    <row r="38">
      <c r="A38">
        <f>Measurement!A35</f>
        <v/>
      </c>
      <c r="B38">
        <f>Measurement!B35</f>
        <v/>
      </c>
      <c r="C38">
        <f>Measurement!C35</f>
        <v/>
      </c>
      <c r="D38" s="43">
        <f>Measurement!D35</f>
        <v/>
      </c>
      <c r="E38" s="43">
        <f>Measurement!J35</f>
        <v/>
      </c>
      <c r="F38" s="43">
        <f>Measurement!E35</f>
        <v/>
      </c>
      <c r="G38" s="67">
        <f>Measurement!F35</f>
        <v/>
      </c>
      <c r="H38" s="67">
        <f>Measurement!I35</f>
        <v/>
      </c>
      <c r="I38" s="32">
        <f>Measurement!G35</f>
        <v/>
      </c>
      <c r="J38" s="42">
        <f>IF(B38="PRE",IF(Parameters!$B$21=0,0,I38/Parameters!$B$21),IF(B38="PRO",IF(Parameters!$C$21=0,0,I38/Parameters!$C$21),IF(Parameters!$D$21=0,0,I38/Parameters!$D$21)))</f>
        <v/>
      </c>
      <c r="K38" s="32">
        <f>Measurement!H35</f>
        <v/>
      </c>
      <c r="L38" s="42">
        <f>IF(B38="PRE",IF(Parameters!$B$22=0,0,K38/Parameters!$B$22),IF(B38="PRO",IF(Parameters!$C$22=0,0,K38/Parameters!$C$22),IF(Parameters!$D$22=0,0,K38/Parameters!$D$22)))</f>
        <v/>
      </c>
      <c r="M38" s="43">
        <f>IF(B38="PRE",J38*Parameters!$B$11,IF(B38="PRO",J38*Parameters!$C$11,J38*Parameters!$E$11))</f>
        <v/>
      </c>
      <c r="N38" s="43">
        <f>IF(B38="PRE",L38*Parameters!$B$12,IF(B38="PRO",L38*Parameters!$C$12,L38*Parameters!$E$12))</f>
        <v/>
      </c>
      <c r="O38" s="45">
        <f>(M38+N38)*Parameters!$B$5</f>
        <v/>
      </c>
      <c r="P38" s="45">
        <f>IF(B38="PRE",L38*Parameters!$B$23,IF(B38="PRO",L38*Parameters!$C$23,IF(Parameters!$D$22=0,J38*Parameters!$D$23,L38*Parameters!$D$23)))</f>
        <v/>
      </c>
      <c r="Q38" s="45">
        <f>O38+P38</f>
        <v/>
      </c>
      <c r="R38" s="45">
        <f>IF(OR(B38="PRE",B38="PRO"),Q38*$B$3,0)</f>
        <v/>
      </c>
      <c r="S38" s="45">
        <f>Q38+R38</f>
        <v/>
      </c>
    </row>
    <row r="39">
      <c r="A39">
        <f>Measurement!A36</f>
        <v/>
      </c>
      <c r="B39">
        <f>Measurement!B36</f>
        <v/>
      </c>
      <c r="C39">
        <f>Measurement!C36</f>
        <v/>
      </c>
      <c r="D39" s="43">
        <f>Measurement!D36</f>
        <v/>
      </c>
      <c r="E39" s="43">
        <f>Measurement!J36</f>
        <v/>
      </c>
      <c r="F39" s="43">
        <f>Measurement!E36</f>
        <v/>
      </c>
      <c r="G39" s="67">
        <f>Measurement!F36</f>
        <v/>
      </c>
      <c r="H39" s="67">
        <f>Measurement!I36</f>
        <v/>
      </c>
      <c r="I39" s="32">
        <f>Measurement!G36</f>
        <v/>
      </c>
      <c r="J39" s="42">
        <f>IF(B39="PRE",IF(Parameters!$B$21=0,0,I39/Parameters!$B$21),IF(B39="PRO",IF(Parameters!$C$21=0,0,I39/Parameters!$C$21),IF(Parameters!$D$21=0,0,I39/Parameters!$D$21)))</f>
        <v/>
      </c>
      <c r="K39" s="32">
        <f>Measurement!H36</f>
        <v/>
      </c>
      <c r="L39" s="42">
        <f>IF(B39="PRE",IF(Parameters!$B$22=0,0,K39/Parameters!$B$22),IF(B39="PRO",IF(Parameters!$C$22=0,0,K39/Parameters!$C$22),IF(Parameters!$D$22=0,0,K39/Parameters!$D$22)))</f>
        <v/>
      </c>
      <c r="M39" s="43">
        <f>IF(B39="PRE",J39*Parameters!$B$11,IF(B39="PRO",J39*Parameters!$C$11,J39*Parameters!$E$11))</f>
        <v/>
      </c>
      <c r="N39" s="43">
        <f>IF(B39="PRE",L39*Parameters!$B$12,IF(B39="PRO",L39*Parameters!$C$12,L39*Parameters!$E$12))</f>
        <v/>
      </c>
      <c r="O39" s="45">
        <f>(M39+N39)*Parameters!$B$5</f>
        <v/>
      </c>
      <c r="P39" s="45">
        <f>IF(B39="PRE",L39*Parameters!$B$23,IF(B39="PRO",L39*Parameters!$C$23,IF(Parameters!$D$22=0,J39*Parameters!$D$23,L39*Parameters!$D$23)))</f>
        <v/>
      </c>
      <c r="Q39" s="45">
        <f>O39+P39</f>
        <v/>
      </c>
      <c r="R39" s="45">
        <f>IF(OR(B39="PRE",B39="PRO"),Q39*$B$3,0)</f>
        <v/>
      </c>
      <c r="S39" s="45">
        <f>Q39+R39</f>
        <v/>
      </c>
    </row>
    <row r="40">
      <c r="A40">
        <f>Measurement!A37</f>
        <v/>
      </c>
      <c r="B40">
        <f>Measurement!B37</f>
        <v/>
      </c>
      <c r="C40">
        <f>Measurement!C37</f>
        <v/>
      </c>
      <c r="D40" s="43">
        <f>Measurement!D37</f>
        <v/>
      </c>
      <c r="E40" s="43">
        <f>Measurement!J37</f>
        <v/>
      </c>
      <c r="F40" s="43">
        <f>Measurement!E37</f>
        <v/>
      </c>
      <c r="G40" s="67">
        <f>Measurement!F37</f>
        <v/>
      </c>
      <c r="H40" s="67">
        <f>Measurement!I37</f>
        <v/>
      </c>
      <c r="I40" s="32">
        <f>Measurement!G37</f>
        <v/>
      </c>
      <c r="J40" s="42">
        <f>IF(B40="PRE",IF(Parameters!$B$21=0,0,I40/Parameters!$B$21),IF(B40="PRO",IF(Parameters!$C$21=0,0,I40/Parameters!$C$21),IF(Parameters!$D$21=0,0,I40/Parameters!$D$21)))</f>
        <v/>
      </c>
      <c r="K40" s="32">
        <f>Measurement!H37</f>
        <v/>
      </c>
      <c r="L40" s="42">
        <f>IF(B40="PRE",IF(Parameters!$B$22=0,0,K40/Parameters!$B$22),IF(B40="PRO",IF(Parameters!$C$22=0,0,K40/Parameters!$C$22),IF(Parameters!$D$22=0,0,K40/Parameters!$D$22)))</f>
        <v/>
      </c>
      <c r="M40" s="43">
        <f>IF(B40="PRE",J40*Parameters!$B$11,IF(B40="PRO",J40*Parameters!$C$11,J40*Parameters!$E$11))</f>
        <v/>
      </c>
      <c r="N40" s="43">
        <f>IF(B40="PRE",L40*Parameters!$B$12,IF(B40="PRO",L40*Parameters!$C$12,L40*Parameters!$E$12))</f>
        <v/>
      </c>
      <c r="O40" s="45">
        <f>(M40+N40)*Parameters!$B$5</f>
        <v/>
      </c>
      <c r="P40" s="45">
        <f>IF(B40="PRE",L40*Parameters!$B$23,IF(B40="PRO",L40*Parameters!$C$23,IF(Parameters!$D$22=0,J40*Parameters!$D$23,L40*Parameters!$D$23)))</f>
        <v/>
      </c>
      <c r="Q40" s="45">
        <f>O40+P40</f>
        <v/>
      </c>
      <c r="R40" s="45">
        <f>IF(OR(B40="PRE",B40="PRO"),Q40*$B$3,0)</f>
        <v/>
      </c>
      <c r="S40" s="45">
        <f>Q40+R40</f>
        <v/>
      </c>
    </row>
    <row r="41">
      <c r="A41">
        <f>Measurement!A38</f>
        <v/>
      </c>
      <c r="B41">
        <f>Measurement!B38</f>
        <v/>
      </c>
      <c r="C41">
        <f>Measurement!C38</f>
        <v/>
      </c>
      <c r="D41" s="43">
        <f>Measurement!D38</f>
        <v/>
      </c>
      <c r="E41" s="43">
        <f>Measurement!J38</f>
        <v/>
      </c>
      <c r="F41" s="43">
        <f>Measurement!E38</f>
        <v/>
      </c>
      <c r="G41" s="67">
        <f>Measurement!F38</f>
        <v/>
      </c>
      <c r="H41" s="67">
        <f>Measurement!I38</f>
        <v/>
      </c>
      <c r="I41" s="32">
        <f>Measurement!G38</f>
        <v/>
      </c>
      <c r="J41" s="42">
        <f>IF(B41="PRE",IF(Parameters!$B$21=0,0,I41/Parameters!$B$21),IF(B41="PRO",IF(Parameters!$C$21=0,0,I41/Parameters!$C$21),IF(Parameters!$D$21=0,0,I41/Parameters!$D$21)))</f>
        <v/>
      </c>
      <c r="K41" s="32">
        <f>Measurement!H38</f>
        <v/>
      </c>
      <c r="L41" s="42">
        <f>IF(B41="PRE",IF(Parameters!$B$22=0,0,K41/Parameters!$B$22),IF(B41="PRO",IF(Parameters!$C$22=0,0,K41/Parameters!$C$22),IF(Parameters!$D$22=0,0,K41/Parameters!$D$22)))</f>
        <v/>
      </c>
      <c r="M41" s="43">
        <f>IF(B41="PRE",J41*Parameters!$B$11,IF(B41="PRO",J41*Parameters!$C$11,J41*Parameters!$E$11))</f>
        <v/>
      </c>
      <c r="N41" s="43">
        <f>IF(B41="PRE",L41*Parameters!$B$12,IF(B41="PRO",L41*Parameters!$C$12,L41*Parameters!$E$12))</f>
        <v/>
      </c>
      <c r="O41" s="45">
        <f>(M41+N41)*Parameters!$B$5</f>
        <v/>
      </c>
      <c r="P41" s="45">
        <f>IF(B41="PRE",L41*Parameters!$B$23,IF(B41="PRO",L41*Parameters!$C$23,IF(Parameters!$D$22=0,J41*Parameters!$D$23,L41*Parameters!$D$23)))</f>
        <v/>
      </c>
      <c r="Q41" s="45">
        <f>O41+P41</f>
        <v/>
      </c>
      <c r="R41" s="45">
        <f>IF(OR(B41="PRE",B41="PRO"),Q41*$B$3,0)</f>
        <v/>
      </c>
      <c r="S41" s="45">
        <f>Q41+R41</f>
        <v/>
      </c>
    </row>
    <row r="42">
      <c r="A42">
        <f>Measurement!A39</f>
        <v/>
      </c>
      <c r="B42">
        <f>Measurement!B39</f>
        <v/>
      </c>
      <c r="C42">
        <f>Measurement!C39</f>
        <v/>
      </c>
      <c r="D42" s="43">
        <f>Measurement!D39</f>
        <v/>
      </c>
      <c r="E42" s="43">
        <f>Measurement!J39</f>
        <v/>
      </c>
      <c r="F42" s="43">
        <f>Measurement!E39</f>
        <v/>
      </c>
      <c r="G42" s="67">
        <f>Measurement!F39</f>
        <v/>
      </c>
      <c r="H42" s="67">
        <f>Measurement!I39</f>
        <v/>
      </c>
      <c r="I42" s="32">
        <f>Measurement!G39</f>
        <v/>
      </c>
      <c r="J42" s="42">
        <f>IF(B42="PRE",IF(Parameters!$B$21=0,0,I42/Parameters!$B$21),IF(B42="PRO",IF(Parameters!$C$21=0,0,I42/Parameters!$C$21),IF(Parameters!$D$21=0,0,I42/Parameters!$D$21)))</f>
        <v/>
      </c>
      <c r="K42" s="32">
        <f>Measurement!H39</f>
        <v/>
      </c>
      <c r="L42" s="42">
        <f>IF(B42="PRE",IF(Parameters!$B$22=0,0,K42/Parameters!$B$22),IF(B42="PRO",IF(Parameters!$C$22=0,0,K42/Parameters!$C$22),IF(Parameters!$D$22=0,0,K42/Parameters!$D$22)))</f>
        <v/>
      </c>
      <c r="M42" s="43">
        <f>IF(B42="PRE",J42*Parameters!$B$11,IF(B42="PRO",J42*Parameters!$C$11,J42*Parameters!$E$11))</f>
        <v/>
      </c>
      <c r="N42" s="43">
        <f>IF(B42="PRE",L42*Parameters!$B$12,IF(B42="PRO",L42*Parameters!$C$12,L42*Parameters!$E$12))</f>
        <v/>
      </c>
      <c r="O42" s="45">
        <f>(M42+N42)*Parameters!$B$5</f>
        <v/>
      </c>
      <c r="P42" s="45">
        <f>IF(B42="PRE",L42*Parameters!$B$23,IF(B42="PRO",L42*Parameters!$C$23,IF(Parameters!$D$22=0,J42*Parameters!$D$23,L42*Parameters!$D$23)))</f>
        <v/>
      </c>
      <c r="Q42" s="45">
        <f>O42+P42</f>
        <v/>
      </c>
      <c r="R42" s="45">
        <f>IF(OR(B42="PRE",B42="PRO"),Q42*$B$3,0)</f>
        <v/>
      </c>
      <c r="S42" s="45">
        <f>Q42+R42</f>
        <v/>
      </c>
    </row>
    <row r="43">
      <c r="A43">
        <f>Measurement!A40</f>
        <v/>
      </c>
      <c r="B43">
        <f>Measurement!B40</f>
        <v/>
      </c>
      <c r="C43">
        <f>Measurement!C40</f>
        <v/>
      </c>
      <c r="D43" s="43">
        <f>Measurement!D40</f>
        <v/>
      </c>
      <c r="E43" s="43">
        <f>Measurement!J40</f>
        <v/>
      </c>
      <c r="F43" s="43">
        <f>Measurement!E40</f>
        <v/>
      </c>
      <c r="G43" s="67">
        <f>Measurement!F40</f>
        <v/>
      </c>
      <c r="H43" s="67">
        <f>Measurement!I40</f>
        <v/>
      </c>
      <c r="I43" s="32">
        <f>Measurement!G40</f>
        <v/>
      </c>
      <c r="J43" s="42">
        <f>IF(B43="PRE",IF(Parameters!$B$21=0,0,I43/Parameters!$B$21),IF(B43="PRO",IF(Parameters!$C$21=0,0,I43/Parameters!$C$21),IF(Parameters!$D$21=0,0,I43/Parameters!$D$21)))</f>
        <v/>
      </c>
      <c r="K43" s="32">
        <f>Measurement!H40</f>
        <v/>
      </c>
      <c r="L43" s="42">
        <f>IF(B43="PRE",IF(Parameters!$B$22=0,0,K43/Parameters!$B$22),IF(B43="PRO",IF(Parameters!$C$22=0,0,K43/Parameters!$C$22),IF(Parameters!$D$22=0,0,K43/Parameters!$D$22)))</f>
        <v/>
      </c>
      <c r="M43" s="43">
        <f>IF(B43="PRE",J43*Parameters!$B$11,IF(B43="PRO",J43*Parameters!$C$11,J43*Parameters!$E$11))</f>
        <v/>
      </c>
      <c r="N43" s="43">
        <f>IF(B43="PRE",L43*Parameters!$B$12,IF(B43="PRO",L43*Parameters!$C$12,L43*Parameters!$E$12))</f>
        <v/>
      </c>
      <c r="O43" s="45">
        <f>(M43+N43)*Parameters!$B$5</f>
        <v/>
      </c>
      <c r="P43" s="45">
        <f>IF(B43="PRE",L43*Parameters!$B$23,IF(B43="PRO",L43*Parameters!$C$23,IF(Parameters!$D$22=0,J43*Parameters!$D$23,L43*Parameters!$D$23)))</f>
        <v/>
      </c>
      <c r="Q43" s="45">
        <f>O43+P43</f>
        <v/>
      </c>
      <c r="R43" s="45">
        <f>IF(OR(B43="PRE",B43="PRO"),Q43*$B$3,0)</f>
        <v/>
      </c>
      <c r="S43" s="45">
        <f>Q43+R43</f>
        <v/>
      </c>
    </row>
    <row r="44">
      <c r="A44">
        <f>Measurement!A41</f>
        <v/>
      </c>
      <c r="B44">
        <f>Measurement!B41</f>
        <v/>
      </c>
      <c r="C44">
        <f>Measurement!C41</f>
        <v/>
      </c>
      <c r="D44" s="43">
        <f>Measurement!D41</f>
        <v/>
      </c>
      <c r="E44" s="43">
        <f>Measurement!J41</f>
        <v/>
      </c>
      <c r="F44" s="43">
        <f>Measurement!E41</f>
        <v/>
      </c>
      <c r="G44" s="67">
        <f>Measurement!F41</f>
        <v/>
      </c>
      <c r="H44" s="67">
        <f>Measurement!I41</f>
        <v/>
      </c>
      <c r="I44" s="32">
        <f>Measurement!G41</f>
        <v/>
      </c>
      <c r="J44" s="42">
        <f>IF(B44="PRE",IF(Parameters!$B$21=0,0,I44/Parameters!$B$21),IF(B44="PRO",IF(Parameters!$C$21=0,0,I44/Parameters!$C$21),IF(Parameters!$D$21=0,0,I44/Parameters!$D$21)))</f>
        <v/>
      </c>
      <c r="K44" s="32">
        <f>Measurement!H41</f>
        <v/>
      </c>
      <c r="L44" s="42">
        <f>IF(B44="PRE",IF(Parameters!$B$22=0,0,K44/Parameters!$B$22),IF(B44="PRO",IF(Parameters!$C$22=0,0,K44/Parameters!$C$22),IF(Parameters!$D$22=0,0,K44/Parameters!$D$22)))</f>
        <v/>
      </c>
      <c r="M44" s="43">
        <f>IF(B44="PRE",J44*Parameters!$B$11,IF(B44="PRO",J44*Parameters!$C$11,J44*Parameters!$E$11))</f>
        <v/>
      </c>
      <c r="N44" s="43">
        <f>IF(B44="PRE",L44*Parameters!$B$12,IF(B44="PRO",L44*Parameters!$C$12,L44*Parameters!$E$12))</f>
        <v/>
      </c>
      <c r="O44" s="45">
        <f>(M44+N44)*Parameters!$B$5</f>
        <v/>
      </c>
      <c r="P44" s="45">
        <f>IF(B44="PRE",L44*Parameters!$B$23,IF(B44="PRO",L44*Parameters!$C$23,IF(Parameters!$D$22=0,J44*Parameters!$D$23,L44*Parameters!$D$23)))</f>
        <v/>
      </c>
      <c r="Q44" s="45">
        <f>O44+P44</f>
        <v/>
      </c>
      <c r="R44" s="45">
        <f>IF(OR(B44="PRE",B44="PRO"),Q44*$B$3,0)</f>
        <v/>
      </c>
      <c r="S44" s="45">
        <f>Q44+R44</f>
        <v/>
      </c>
    </row>
    <row r="45">
      <c r="A45">
        <f>Measurement!A42</f>
        <v/>
      </c>
      <c r="B45">
        <f>Measurement!B42</f>
        <v/>
      </c>
      <c r="C45">
        <f>Measurement!C42</f>
        <v/>
      </c>
      <c r="D45" s="43">
        <f>Measurement!D42</f>
        <v/>
      </c>
      <c r="E45" s="43">
        <f>Measurement!J42</f>
        <v/>
      </c>
      <c r="F45" s="43">
        <f>Measurement!E42</f>
        <v/>
      </c>
      <c r="G45" s="67">
        <f>Measurement!F42</f>
        <v/>
      </c>
      <c r="H45" s="67">
        <f>Measurement!I42</f>
        <v/>
      </c>
      <c r="I45" s="32">
        <f>Measurement!G42</f>
        <v/>
      </c>
      <c r="J45" s="42">
        <f>IF(B45="PRE",IF(Parameters!$B$21=0,0,I45/Parameters!$B$21),IF(B45="PRO",IF(Parameters!$C$21=0,0,I45/Parameters!$C$21),IF(Parameters!$D$21=0,0,I45/Parameters!$D$21)))</f>
        <v/>
      </c>
      <c r="K45" s="32">
        <f>Measurement!H42</f>
        <v/>
      </c>
      <c r="L45" s="42">
        <f>IF(B45="PRE",IF(Parameters!$B$22=0,0,K45/Parameters!$B$22),IF(B45="PRO",IF(Parameters!$C$22=0,0,K45/Parameters!$C$22),IF(Parameters!$D$22=0,0,K45/Parameters!$D$22)))</f>
        <v/>
      </c>
      <c r="M45" s="43">
        <f>IF(B45="PRE",J45*Parameters!$B$11,IF(B45="PRO",J45*Parameters!$C$11,J45*Parameters!$E$11))</f>
        <v/>
      </c>
      <c r="N45" s="43">
        <f>IF(B45="PRE",L45*Parameters!$B$12,IF(B45="PRO",L45*Parameters!$C$12,L45*Parameters!$E$12))</f>
        <v/>
      </c>
      <c r="O45" s="45">
        <f>(M45+N45)*Parameters!$B$5</f>
        <v/>
      </c>
      <c r="P45" s="45">
        <f>IF(B45="PRE",L45*Parameters!$B$23,IF(B45="PRO",L45*Parameters!$C$23,IF(Parameters!$D$22=0,J45*Parameters!$D$23,L45*Parameters!$D$23)))</f>
        <v/>
      </c>
      <c r="Q45" s="45">
        <f>O45+P45</f>
        <v/>
      </c>
      <c r="R45" s="45">
        <f>IF(OR(B45="PRE",B45="PRO"),Q45*$B$3,0)</f>
        <v/>
      </c>
      <c r="S45" s="45">
        <f>Q45+R45</f>
        <v/>
      </c>
    </row>
    <row r="46">
      <c r="A46">
        <f>Measurement!A43</f>
        <v/>
      </c>
      <c r="B46">
        <f>Measurement!B43</f>
        <v/>
      </c>
      <c r="C46">
        <f>Measurement!C43</f>
        <v/>
      </c>
      <c r="D46" s="43">
        <f>Measurement!D43</f>
        <v/>
      </c>
      <c r="E46" s="43">
        <f>Measurement!J43</f>
        <v/>
      </c>
      <c r="F46" s="43">
        <f>Measurement!E43</f>
        <v/>
      </c>
      <c r="G46" s="67">
        <f>Measurement!F43</f>
        <v/>
      </c>
      <c r="H46" s="67">
        <f>Measurement!I43</f>
        <v/>
      </c>
      <c r="I46" s="32">
        <f>Measurement!G43</f>
        <v/>
      </c>
      <c r="J46" s="42">
        <f>IF(B46="PRE",IF(Parameters!$B$21=0,0,I46/Parameters!$B$21),IF(B46="PRO",IF(Parameters!$C$21=0,0,I46/Parameters!$C$21),IF(Parameters!$D$21=0,0,I46/Parameters!$D$21)))</f>
        <v/>
      </c>
      <c r="K46" s="32">
        <f>Measurement!H43</f>
        <v/>
      </c>
      <c r="L46" s="42">
        <f>IF(B46="PRE",IF(Parameters!$B$22=0,0,K46/Parameters!$B$22),IF(B46="PRO",IF(Parameters!$C$22=0,0,K46/Parameters!$C$22),IF(Parameters!$D$22=0,0,K46/Parameters!$D$22)))</f>
        <v/>
      </c>
      <c r="M46" s="43">
        <f>IF(B46="PRE",J46*Parameters!$B$11,IF(B46="PRO",J46*Parameters!$C$11,J46*Parameters!$E$11))</f>
        <v/>
      </c>
      <c r="N46" s="43">
        <f>IF(B46="PRE",L46*Parameters!$B$12,IF(B46="PRO",L46*Parameters!$C$12,L46*Parameters!$E$12))</f>
        <v/>
      </c>
      <c r="O46" s="45">
        <f>(M46+N46)*Parameters!$B$5</f>
        <v/>
      </c>
      <c r="P46" s="45">
        <f>IF(B46="PRE",L46*Parameters!$B$23,IF(B46="PRO",L46*Parameters!$C$23,IF(Parameters!$D$22=0,J46*Parameters!$D$23,L46*Parameters!$D$23)))</f>
        <v/>
      </c>
      <c r="Q46" s="45">
        <f>O46+P46</f>
        <v/>
      </c>
      <c r="R46" s="45">
        <f>IF(OR(B46="PRE",B46="PRO"),Q46*$B$3,0)</f>
        <v/>
      </c>
      <c r="S46" s="45">
        <f>Q46+R46</f>
        <v/>
      </c>
    </row>
    <row r="47">
      <c r="A47">
        <f>Measurement!A44</f>
        <v/>
      </c>
      <c r="B47">
        <f>Measurement!B44</f>
        <v/>
      </c>
      <c r="C47">
        <f>Measurement!C44</f>
        <v/>
      </c>
      <c r="D47" s="43">
        <f>Measurement!D44</f>
        <v/>
      </c>
      <c r="E47" s="43">
        <f>Measurement!J44</f>
        <v/>
      </c>
      <c r="F47" s="43">
        <f>Measurement!E44</f>
        <v/>
      </c>
      <c r="G47" s="67">
        <f>Measurement!F44</f>
        <v/>
      </c>
      <c r="H47" s="67">
        <f>Measurement!I44</f>
        <v/>
      </c>
      <c r="I47" s="32">
        <f>Measurement!G44</f>
        <v/>
      </c>
      <c r="J47" s="42">
        <f>IF(B47="PRE",IF(Parameters!$B$21=0,0,I47/Parameters!$B$21),IF(B47="PRO",IF(Parameters!$C$21=0,0,I47/Parameters!$C$21),IF(Parameters!$D$21=0,0,I47/Parameters!$D$21)))</f>
        <v/>
      </c>
      <c r="K47" s="32">
        <f>Measurement!H44</f>
        <v/>
      </c>
      <c r="L47" s="42">
        <f>IF(B47="PRE",IF(Parameters!$B$22=0,0,K47/Parameters!$B$22),IF(B47="PRO",IF(Parameters!$C$22=0,0,K47/Parameters!$C$22),IF(Parameters!$D$22=0,0,K47/Parameters!$D$22)))</f>
        <v/>
      </c>
      <c r="M47" s="43">
        <f>IF(B47="PRE",J47*Parameters!$B$11,IF(B47="PRO",J47*Parameters!$C$11,J47*Parameters!$E$11))</f>
        <v/>
      </c>
      <c r="N47" s="43">
        <f>IF(B47="PRE",L47*Parameters!$B$12,IF(B47="PRO",L47*Parameters!$C$12,L47*Parameters!$E$12))</f>
        <v/>
      </c>
      <c r="O47" s="45">
        <f>(M47+N47)*Parameters!$B$5</f>
        <v/>
      </c>
      <c r="P47" s="45">
        <f>IF(B47="PRE",L47*Parameters!$B$23,IF(B47="PRO",L47*Parameters!$C$23,IF(Parameters!$D$22=0,J47*Parameters!$D$23,L47*Parameters!$D$23)))</f>
        <v/>
      </c>
      <c r="Q47" s="45">
        <f>O47+P47</f>
        <v/>
      </c>
      <c r="R47" s="45">
        <f>IF(OR(B47="PRE",B47="PRO"),Q47*$B$3,0)</f>
        <v/>
      </c>
      <c r="S47" s="45">
        <f>Q47+R47</f>
        <v/>
      </c>
    </row>
    <row r="48">
      <c r="A48">
        <f>Measurement!A45</f>
        <v/>
      </c>
      <c r="B48">
        <f>Measurement!B45</f>
        <v/>
      </c>
      <c r="C48">
        <f>Measurement!C45</f>
        <v/>
      </c>
      <c r="D48" s="43">
        <f>Measurement!D45</f>
        <v/>
      </c>
      <c r="E48" s="43">
        <f>Measurement!J45</f>
        <v/>
      </c>
      <c r="F48" s="43">
        <f>Measurement!E45</f>
        <v/>
      </c>
      <c r="G48" s="67">
        <f>Measurement!F45</f>
        <v/>
      </c>
      <c r="H48" s="67">
        <f>Measurement!I45</f>
        <v/>
      </c>
      <c r="I48" s="32">
        <f>Measurement!G45</f>
        <v/>
      </c>
      <c r="J48" s="42">
        <f>IF(B48="PRE",IF(Parameters!$B$21=0,0,I48/Parameters!$B$21),IF(B48="PRO",IF(Parameters!$C$21=0,0,I48/Parameters!$C$21),IF(Parameters!$D$21=0,0,I48/Parameters!$D$21)))</f>
        <v/>
      </c>
      <c r="K48" s="32">
        <f>Measurement!H45</f>
        <v/>
      </c>
      <c r="L48" s="42">
        <f>IF(B48="PRE",IF(Parameters!$B$22=0,0,K48/Parameters!$B$22),IF(B48="PRO",IF(Parameters!$C$22=0,0,K48/Parameters!$C$22),IF(Parameters!$D$22=0,0,K48/Parameters!$D$22)))</f>
        <v/>
      </c>
      <c r="M48" s="43">
        <f>IF(B48="PRE",J48*Parameters!$B$11,IF(B48="PRO",J48*Parameters!$C$11,J48*Parameters!$E$11))</f>
        <v/>
      </c>
      <c r="N48" s="43">
        <f>IF(B48="PRE",L48*Parameters!$B$12,IF(B48="PRO",L48*Parameters!$C$12,L48*Parameters!$E$12))</f>
        <v/>
      </c>
      <c r="O48" s="45">
        <f>(M48+N48)*Parameters!$B$5</f>
        <v/>
      </c>
      <c r="P48" s="45">
        <f>IF(B48="PRE",L48*Parameters!$B$23,IF(B48="PRO",L48*Parameters!$C$23,IF(Parameters!$D$22=0,J48*Parameters!$D$23,L48*Parameters!$D$23)))</f>
        <v/>
      </c>
      <c r="Q48" s="45">
        <f>O48+P48</f>
        <v/>
      </c>
      <c r="R48" s="45">
        <f>IF(OR(B48="PRE",B48="PRO"),Q48*$B$3,0)</f>
        <v/>
      </c>
      <c r="S48" s="45">
        <f>Q48+R48</f>
        <v/>
      </c>
    </row>
    <row r="49">
      <c r="A49">
        <f>Measurement!A46</f>
        <v/>
      </c>
      <c r="B49">
        <f>Measurement!B46</f>
        <v/>
      </c>
      <c r="C49">
        <f>Measurement!C46</f>
        <v/>
      </c>
      <c r="D49" s="43">
        <f>Measurement!D46</f>
        <v/>
      </c>
      <c r="E49" s="43">
        <f>Measurement!J46</f>
        <v/>
      </c>
      <c r="F49" s="43">
        <f>Measurement!E46</f>
        <v/>
      </c>
      <c r="G49" s="67">
        <f>Measurement!F46</f>
        <v/>
      </c>
      <c r="H49" s="67">
        <f>Measurement!I46</f>
        <v/>
      </c>
      <c r="I49" s="32">
        <f>Measurement!G46</f>
        <v/>
      </c>
      <c r="J49" s="42">
        <f>IF(B49="PRE",IF(Parameters!$B$21=0,0,I49/Parameters!$B$21),IF(B49="PRO",IF(Parameters!$C$21=0,0,I49/Parameters!$C$21),IF(Parameters!$D$21=0,0,I49/Parameters!$D$21)))</f>
        <v/>
      </c>
      <c r="K49" s="32">
        <f>Measurement!H46</f>
        <v/>
      </c>
      <c r="L49" s="42">
        <f>IF(B49="PRE",IF(Parameters!$B$22=0,0,K49/Parameters!$B$22),IF(B49="PRO",IF(Parameters!$C$22=0,0,K49/Parameters!$C$22),IF(Parameters!$D$22=0,0,K49/Parameters!$D$22)))</f>
        <v/>
      </c>
      <c r="M49" s="43">
        <f>IF(B49="PRE",J49*Parameters!$B$11,IF(B49="PRO",J49*Parameters!$C$11,J49*Parameters!$E$11))</f>
        <v/>
      </c>
      <c r="N49" s="43">
        <f>IF(B49="PRE",L49*Parameters!$B$12,IF(B49="PRO",L49*Parameters!$C$12,L49*Parameters!$E$12))</f>
        <v/>
      </c>
      <c r="O49" s="45">
        <f>(M49+N49)*Parameters!$B$5</f>
        <v/>
      </c>
      <c r="P49" s="45">
        <f>IF(B49="PRE",L49*Parameters!$B$23,IF(B49="PRO",L49*Parameters!$C$23,IF(Parameters!$D$22=0,J49*Parameters!$D$23,L49*Parameters!$D$23)))</f>
        <v/>
      </c>
      <c r="Q49" s="45">
        <f>O49+P49</f>
        <v/>
      </c>
      <c r="R49" s="45">
        <f>IF(OR(B49="PRE",B49="PRO"),Q49*$B$3,0)</f>
        <v/>
      </c>
      <c r="S49" s="45">
        <f>Q49+R49</f>
        <v/>
      </c>
    </row>
    <row r="50">
      <c r="A50">
        <f>Measurement!A47</f>
        <v/>
      </c>
      <c r="B50">
        <f>Measurement!B47</f>
        <v/>
      </c>
      <c r="C50">
        <f>Measurement!C47</f>
        <v/>
      </c>
      <c r="D50" s="43">
        <f>Measurement!D47</f>
        <v/>
      </c>
      <c r="E50" s="43">
        <f>Measurement!J47</f>
        <v/>
      </c>
      <c r="F50" s="43">
        <f>Measurement!E47</f>
        <v/>
      </c>
      <c r="G50" s="67">
        <f>Measurement!F47</f>
        <v/>
      </c>
      <c r="H50" s="67">
        <f>Measurement!I47</f>
        <v/>
      </c>
      <c r="I50" s="32">
        <f>Measurement!G47</f>
        <v/>
      </c>
      <c r="J50" s="42">
        <f>IF(B50="PRE",IF(Parameters!$B$21=0,0,I50/Parameters!$B$21),IF(B50="PRO",IF(Parameters!$C$21=0,0,I50/Parameters!$C$21),IF(Parameters!$D$21=0,0,I50/Parameters!$D$21)))</f>
        <v/>
      </c>
      <c r="K50" s="32">
        <f>Measurement!H47</f>
        <v/>
      </c>
      <c r="L50" s="42">
        <f>IF(B50="PRE",IF(Parameters!$B$22=0,0,K50/Parameters!$B$22),IF(B50="PRO",IF(Parameters!$C$22=0,0,K50/Parameters!$C$22),IF(Parameters!$D$22=0,0,K50/Parameters!$D$22)))</f>
        <v/>
      </c>
      <c r="M50" s="43">
        <f>IF(B50="PRE",J50*Parameters!$B$11,IF(B50="PRO",J50*Parameters!$C$11,J50*Parameters!$E$11))</f>
        <v/>
      </c>
      <c r="N50" s="43">
        <f>IF(B50="PRE",L50*Parameters!$B$12,IF(B50="PRO",L50*Parameters!$C$12,L50*Parameters!$E$12))</f>
        <v/>
      </c>
      <c r="O50" s="45">
        <f>(M50+N50)*Parameters!$B$5</f>
        <v/>
      </c>
      <c r="P50" s="45">
        <f>IF(B50="PRE",L50*Parameters!$B$23,IF(B50="PRO",L50*Parameters!$C$23,IF(Parameters!$D$22=0,J50*Parameters!$D$23,L50*Parameters!$D$23)))</f>
        <v/>
      </c>
      <c r="Q50" s="45">
        <f>O50+P50</f>
        <v/>
      </c>
      <c r="R50" s="45">
        <f>IF(OR(B50="PRE",B50="PRO"),Q50*$B$3,0)</f>
        <v/>
      </c>
      <c r="S50" s="45">
        <f>Q50+R50</f>
        <v/>
      </c>
    </row>
    <row r="51">
      <c r="A51">
        <f>Measurement!A48</f>
        <v/>
      </c>
      <c r="B51">
        <f>Measurement!B48</f>
        <v/>
      </c>
      <c r="C51">
        <f>Measurement!C48</f>
        <v/>
      </c>
      <c r="D51" s="43">
        <f>Measurement!D48</f>
        <v/>
      </c>
      <c r="E51" s="43">
        <f>Measurement!J48</f>
        <v/>
      </c>
      <c r="F51" s="43">
        <f>Measurement!E48</f>
        <v/>
      </c>
      <c r="G51" s="67">
        <f>Measurement!F48</f>
        <v/>
      </c>
      <c r="H51" s="67">
        <f>Measurement!I48</f>
        <v/>
      </c>
      <c r="I51" s="32">
        <f>Measurement!G48</f>
        <v/>
      </c>
      <c r="J51" s="42">
        <f>IF(B51="PRE",IF(Parameters!$B$21=0,0,I51/Parameters!$B$21),IF(B51="PRO",IF(Parameters!$C$21=0,0,I51/Parameters!$C$21),IF(Parameters!$D$21=0,0,I51/Parameters!$D$21)))</f>
        <v/>
      </c>
      <c r="K51" s="32">
        <f>Measurement!H48</f>
        <v/>
      </c>
      <c r="L51" s="42">
        <f>IF(B51="PRE",IF(Parameters!$B$22=0,0,K51/Parameters!$B$22),IF(B51="PRO",IF(Parameters!$C$22=0,0,K51/Parameters!$C$22),IF(Parameters!$D$22=0,0,K51/Parameters!$D$22)))</f>
        <v/>
      </c>
      <c r="M51" s="43">
        <f>IF(B51="PRE",J51*Parameters!$B$11,IF(B51="PRO",J51*Parameters!$C$11,J51*Parameters!$E$11))</f>
        <v/>
      </c>
      <c r="N51" s="43">
        <f>IF(B51="PRE",L51*Parameters!$B$12,IF(B51="PRO",L51*Parameters!$C$12,L51*Parameters!$E$12))</f>
        <v/>
      </c>
      <c r="O51" s="45">
        <f>(M51+N51)*Parameters!$B$5</f>
        <v/>
      </c>
      <c r="P51" s="45">
        <f>IF(B51="PRE",L51*Parameters!$B$23,IF(B51="PRO",L51*Parameters!$C$23,IF(Parameters!$D$22=0,J51*Parameters!$D$23,L51*Parameters!$D$23)))</f>
        <v/>
      </c>
      <c r="Q51" s="45">
        <f>O51+P51</f>
        <v/>
      </c>
      <c r="R51" s="45">
        <f>IF(OR(B51="PRE",B51="PRO"),Q51*$B$3,0)</f>
        <v/>
      </c>
      <c r="S51" s="45">
        <f>Q51+R51</f>
        <v/>
      </c>
    </row>
    <row r="52">
      <c r="A52">
        <f>Measurement!A49</f>
        <v/>
      </c>
      <c r="B52">
        <f>Measurement!B49</f>
        <v/>
      </c>
      <c r="C52">
        <f>Measurement!C49</f>
        <v/>
      </c>
      <c r="D52" s="43">
        <f>Measurement!D49</f>
        <v/>
      </c>
      <c r="E52" s="43">
        <f>Measurement!J49</f>
        <v/>
      </c>
      <c r="F52" s="43">
        <f>Measurement!E49</f>
        <v/>
      </c>
      <c r="G52" s="67">
        <f>Measurement!F49</f>
        <v/>
      </c>
      <c r="H52" s="67">
        <f>Measurement!I49</f>
        <v/>
      </c>
      <c r="I52" s="32">
        <f>Measurement!G49</f>
        <v/>
      </c>
      <c r="J52" s="42">
        <f>IF(B52="PRE",IF(Parameters!$B$21=0,0,I52/Parameters!$B$21),IF(B52="PRO",IF(Parameters!$C$21=0,0,I52/Parameters!$C$21),IF(Parameters!$D$21=0,0,I52/Parameters!$D$21)))</f>
        <v/>
      </c>
      <c r="K52" s="32">
        <f>Measurement!H49</f>
        <v/>
      </c>
      <c r="L52" s="42">
        <f>IF(B52="PRE",IF(Parameters!$B$22=0,0,K52/Parameters!$B$22),IF(B52="PRO",IF(Parameters!$C$22=0,0,K52/Parameters!$C$22),IF(Parameters!$D$22=0,0,K52/Parameters!$D$22)))</f>
        <v/>
      </c>
      <c r="M52" s="43">
        <f>IF(B52="PRE",J52*Parameters!$B$11,IF(B52="PRO",J52*Parameters!$C$11,J52*Parameters!$E$11))</f>
        <v/>
      </c>
      <c r="N52" s="43">
        <f>IF(B52="PRE",L52*Parameters!$B$12,IF(B52="PRO",L52*Parameters!$C$12,L52*Parameters!$E$12))</f>
        <v/>
      </c>
      <c r="O52" s="45">
        <f>(M52+N52)*Parameters!$B$5</f>
        <v/>
      </c>
      <c r="P52" s="45">
        <f>IF(B52="PRE",L52*Parameters!$B$23,IF(B52="PRO",L52*Parameters!$C$23,IF(Parameters!$D$22=0,J52*Parameters!$D$23,L52*Parameters!$D$23)))</f>
        <v/>
      </c>
      <c r="Q52" s="45">
        <f>O52+P52</f>
        <v/>
      </c>
      <c r="R52" s="45">
        <f>IF(OR(B52="PRE",B52="PRO"),Q52*$B$3,0)</f>
        <v/>
      </c>
      <c r="S52" s="45">
        <f>Q52+R52</f>
        <v/>
      </c>
    </row>
    <row r="53">
      <c r="A53">
        <f>Measurement!A50</f>
        <v/>
      </c>
      <c r="B53">
        <f>Measurement!B50</f>
        <v/>
      </c>
      <c r="C53">
        <f>Measurement!C50</f>
        <v/>
      </c>
      <c r="D53" s="43">
        <f>Measurement!D50</f>
        <v/>
      </c>
      <c r="E53" s="43">
        <f>Measurement!J50</f>
        <v/>
      </c>
      <c r="F53" s="43">
        <f>Measurement!E50</f>
        <v/>
      </c>
      <c r="G53" s="67">
        <f>Measurement!F50</f>
        <v/>
      </c>
      <c r="H53" s="67">
        <f>Measurement!I50</f>
        <v/>
      </c>
      <c r="I53" s="32">
        <f>Measurement!G50</f>
        <v/>
      </c>
      <c r="J53" s="42">
        <f>IF(B53="PRE",IF(Parameters!$B$21=0,0,I53/Parameters!$B$21),IF(B53="PRO",IF(Parameters!$C$21=0,0,I53/Parameters!$C$21),IF(Parameters!$D$21=0,0,I53/Parameters!$D$21)))</f>
        <v/>
      </c>
      <c r="K53" s="32">
        <f>Measurement!H50</f>
        <v/>
      </c>
      <c r="L53" s="42">
        <f>IF(B53="PRE",IF(Parameters!$B$22=0,0,K53/Parameters!$B$22),IF(B53="PRO",IF(Parameters!$C$22=0,0,K53/Parameters!$C$22),IF(Parameters!$D$22=0,0,K53/Parameters!$D$22)))</f>
        <v/>
      </c>
      <c r="M53" s="43">
        <f>IF(B53="PRE",J53*Parameters!$B$11,IF(B53="PRO",J53*Parameters!$C$11,J53*Parameters!$E$11))</f>
        <v/>
      </c>
      <c r="N53" s="43">
        <f>IF(B53="PRE",L53*Parameters!$B$12,IF(B53="PRO",L53*Parameters!$C$12,L53*Parameters!$E$12))</f>
        <v/>
      </c>
      <c r="O53" s="45">
        <f>(M53+N53)*Parameters!$B$5</f>
        <v/>
      </c>
      <c r="P53" s="45">
        <f>IF(B53="PRE",L53*Parameters!$B$23,IF(B53="PRO",L53*Parameters!$C$23,IF(Parameters!$D$22=0,J53*Parameters!$D$23,L53*Parameters!$D$23)))</f>
        <v/>
      </c>
      <c r="Q53" s="45">
        <f>O53+P53</f>
        <v/>
      </c>
      <c r="R53" s="45">
        <f>IF(OR(B53="PRE",B53="PRO"),Q53*$B$3,0)</f>
        <v/>
      </c>
      <c r="S53" s="45">
        <f>Q53+R53</f>
        <v/>
      </c>
    </row>
    <row r="54">
      <c r="A54">
        <f>Measurement!A51</f>
        <v/>
      </c>
      <c r="B54">
        <f>Measurement!B51</f>
        <v/>
      </c>
      <c r="C54">
        <f>Measurement!C51</f>
        <v/>
      </c>
      <c r="D54" s="43">
        <f>Measurement!D51</f>
        <v/>
      </c>
      <c r="E54" s="43">
        <f>Measurement!J51</f>
        <v/>
      </c>
      <c r="F54" s="43">
        <f>Measurement!E51</f>
        <v/>
      </c>
      <c r="G54" s="67">
        <f>Measurement!F51</f>
        <v/>
      </c>
      <c r="H54" s="67">
        <f>Measurement!I51</f>
        <v/>
      </c>
      <c r="I54" s="32">
        <f>Measurement!G51</f>
        <v/>
      </c>
      <c r="J54" s="42">
        <f>IF(B54="PRE",IF(Parameters!$B$21=0,0,I54/Parameters!$B$21),IF(B54="PRO",IF(Parameters!$C$21=0,0,I54/Parameters!$C$21),IF(Parameters!$D$21=0,0,I54/Parameters!$D$21)))</f>
        <v/>
      </c>
      <c r="K54" s="32">
        <f>Measurement!H51</f>
        <v/>
      </c>
      <c r="L54" s="42">
        <f>IF(B54="PRE",IF(Parameters!$B$22=0,0,K54/Parameters!$B$22),IF(B54="PRO",IF(Parameters!$C$22=0,0,K54/Parameters!$C$22),IF(Parameters!$D$22=0,0,K54/Parameters!$D$22)))</f>
        <v/>
      </c>
      <c r="M54" s="43">
        <f>IF(B54="PRE",J54*Parameters!$B$11,IF(B54="PRO",J54*Parameters!$C$11,J54*Parameters!$E$11))</f>
        <v/>
      </c>
      <c r="N54" s="43">
        <f>IF(B54="PRE",L54*Parameters!$B$12,IF(B54="PRO",L54*Parameters!$C$12,L54*Parameters!$E$12))</f>
        <v/>
      </c>
      <c r="O54" s="45">
        <f>(M54+N54)*Parameters!$B$5</f>
        <v/>
      </c>
      <c r="P54" s="45">
        <f>IF(B54="PRE",L54*Parameters!$B$23,IF(B54="PRO",L54*Parameters!$C$23,IF(Parameters!$D$22=0,J54*Parameters!$D$23,L54*Parameters!$D$23)))</f>
        <v/>
      </c>
      <c r="Q54" s="45">
        <f>O54+P54</f>
        <v/>
      </c>
      <c r="R54" s="45">
        <f>IF(OR(B54="PRE",B54="PRO"),Q54*$B$3,0)</f>
        <v/>
      </c>
      <c r="S54" s="45">
        <f>Q54+R54</f>
        <v/>
      </c>
    </row>
    <row r="55">
      <c r="A55">
        <f>Measurement!A52</f>
        <v/>
      </c>
      <c r="B55">
        <f>Measurement!B52</f>
        <v/>
      </c>
      <c r="C55">
        <f>Measurement!C52</f>
        <v/>
      </c>
      <c r="D55" s="43">
        <f>Measurement!D52</f>
        <v/>
      </c>
      <c r="E55" s="43">
        <f>Measurement!J52</f>
        <v/>
      </c>
      <c r="F55" s="43">
        <f>Measurement!E52</f>
        <v/>
      </c>
      <c r="G55" s="67">
        <f>Measurement!F52</f>
        <v/>
      </c>
      <c r="H55" s="67">
        <f>Measurement!I52</f>
        <v/>
      </c>
      <c r="I55" s="32">
        <f>Measurement!G52</f>
        <v/>
      </c>
      <c r="J55" s="42">
        <f>IF(B55="PRE",IF(Parameters!$B$21=0,0,I55/Parameters!$B$21),IF(B55="PRO",IF(Parameters!$C$21=0,0,I55/Parameters!$C$21),IF(Parameters!$D$21=0,0,I55/Parameters!$D$21)))</f>
        <v/>
      </c>
      <c r="K55" s="32">
        <f>Measurement!H52</f>
        <v/>
      </c>
      <c r="L55" s="42">
        <f>IF(B55="PRE",IF(Parameters!$B$22=0,0,K55/Parameters!$B$22),IF(B55="PRO",IF(Parameters!$C$22=0,0,K55/Parameters!$C$22),IF(Parameters!$D$22=0,0,K55/Parameters!$D$22)))</f>
        <v/>
      </c>
      <c r="M55" s="43">
        <f>IF(B55="PRE",J55*Parameters!$B$11,IF(B55="PRO",J55*Parameters!$C$11,J55*Parameters!$E$11))</f>
        <v/>
      </c>
      <c r="N55" s="43">
        <f>IF(B55="PRE",L55*Parameters!$B$12,IF(B55="PRO",L55*Parameters!$C$12,L55*Parameters!$E$12))</f>
        <v/>
      </c>
      <c r="O55" s="45">
        <f>(M55+N55)*Parameters!$B$5</f>
        <v/>
      </c>
      <c r="P55" s="45">
        <f>IF(B55="PRE",L55*Parameters!$B$23,IF(B55="PRO",L55*Parameters!$C$23,IF(Parameters!$D$22=0,J55*Parameters!$D$23,L55*Parameters!$D$23)))</f>
        <v/>
      </c>
      <c r="Q55" s="45">
        <f>O55+P55</f>
        <v/>
      </c>
      <c r="R55" s="45">
        <f>IF(OR(B55="PRE",B55="PRO"),Q55*$B$3,0)</f>
        <v/>
      </c>
      <c r="S55" s="45">
        <f>Q55+R55</f>
        <v/>
      </c>
    </row>
    <row r="56">
      <c r="A56">
        <f>Measurement!A53</f>
        <v/>
      </c>
      <c r="B56">
        <f>Measurement!B53</f>
        <v/>
      </c>
      <c r="C56">
        <f>Measurement!C53</f>
        <v/>
      </c>
      <c r="D56" s="43">
        <f>Measurement!D53</f>
        <v/>
      </c>
      <c r="E56" s="43">
        <f>Measurement!J53</f>
        <v/>
      </c>
      <c r="F56" s="43">
        <f>Measurement!E53</f>
        <v/>
      </c>
      <c r="G56" s="67">
        <f>Measurement!F53</f>
        <v/>
      </c>
      <c r="H56" s="67">
        <f>Measurement!I53</f>
        <v/>
      </c>
      <c r="I56" s="32">
        <f>Measurement!G53</f>
        <v/>
      </c>
      <c r="J56" s="42">
        <f>IF(B56="PRE",IF(Parameters!$B$21=0,0,I56/Parameters!$B$21),IF(B56="PRO",IF(Parameters!$C$21=0,0,I56/Parameters!$C$21),IF(Parameters!$D$21=0,0,I56/Parameters!$D$21)))</f>
        <v/>
      </c>
      <c r="K56" s="32">
        <f>Measurement!H53</f>
        <v/>
      </c>
      <c r="L56" s="42">
        <f>IF(B56="PRE",IF(Parameters!$B$22=0,0,K56/Parameters!$B$22),IF(B56="PRO",IF(Parameters!$C$22=0,0,K56/Parameters!$C$22),IF(Parameters!$D$22=0,0,K56/Parameters!$D$22)))</f>
        <v/>
      </c>
      <c r="M56" s="43">
        <f>IF(B56="PRE",J56*Parameters!$B$11,IF(B56="PRO",J56*Parameters!$C$11,J56*Parameters!$E$11))</f>
        <v/>
      </c>
      <c r="N56" s="43">
        <f>IF(B56="PRE",L56*Parameters!$B$12,IF(B56="PRO",L56*Parameters!$C$12,L56*Parameters!$E$12))</f>
        <v/>
      </c>
      <c r="O56" s="45">
        <f>(M56+N56)*Parameters!$B$5</f>
        <v/>
      </c>
      <c r="P56" s="45">
        <f>IF(B56="PRE",L56*Parameters!$B$23,IF(B56="PRO",L56*Parameters!$C$23,IF(Parameters!$D$22=0,J56*Parameters!$D$23,L56*Parameters!$D$23)))</f>
        <v/>
      </c>
      <c r="Q56" s="45">
        <f>O56+P56</f>
        <v/>
      </c>
      <c r="R56" s="45">
        <f>IF(OR(B56="PRE",B56="PRO"),Q56*$B$3,0)</f>
        <v/>
      </c>
      <c r="S56" s="45">
        <f>Q56+R56</f>
        <v/>
      </c>
    </row>
    <row r="57">
      <c r="A57">
        <f>Measurement!A54</f>
        <v/>
      </c>
      <c r="B57">
        <f>Measurement!B54</f>
        <v/>
      </c>
      <c r="C57">
        <f>Measurement!C54</f>
        <v/>
      </c>
      <c r="D57" s="43">
        <f>Measurement!D54</f>
        <v/>
      </c>
      <c r="E57" s="43">
        <f>Measurement!J54</f>
        <v/>
      </c>
      <c r="F57" s="43">
        <f>Measurement!E54</f>
        <v/>
      </c>
      <c r="G57" s="67">
        <f>Measurement!F54</f>
        <v/>
      </c>
      <c r="H57" s="67">
        <f>Measurement!I54</f>
        <v/>
      </c>
      <c r="I57" s="32">
        <f>Measurement!G54</f>
        <v/>
      </c>
      <c r="J57" s="42">
        <f>IF(B57="PRE",IF(Parameters!$B$21=0,0,I57/Parameters!$B$21),IF(B57="PRO",IF(Parameters!$C$21=0,0,I57/Parameters!$C$21),IF(Parameters!$D$21=0,0,I57/Parameters!$D$21)))</f>
        <v/>
      </c>
      <c r="K57" s="32">
        <f>Measurement!H54</f>
        <v/>
      </c>
      <c r="L57" s="42">
        <f>IF(B57="PRE",IF(Parameters!$B$22=0,0,K57/Parameters!$B$22),IF(B57="PRO",IF(Parameters!$C$22=0,0,K57/Parameters!$C$22),IF(Parameters!$D$22=0,0,K57/Parameters!$D$22)))</f>
        <v/>
      </c>
      <c r="M57" s="43">
        <f>IF(B57="PRE",J57*Parameters!$B$11,IF(B57="PRO",J57*Parameters!$C$11,J57*Parameters!$E$11))</f>
        <v/>
      </c>
      <c r="N57" s="43">
        <f>IF(B57="PRE",L57*Parameters!$B$12,IF(B57="PRO",L57*Parameters!$C$12,L57*Parameters!$E$12))</f>
        <v/>
      </c>
      <c r="O57" s="45">
        <f>(M57+N57)*Parameters!$B$5</f>
        <v/>
      </c>
      <c r="P57" s="45">
        <f>IF(B57="PRE",L57*Parameters!$B$23,IF(B57="PRO",L57*Parameters!$C$23,IF(Parameters!$D$22=0,J57*Parameters!$D$23,L57*Parameters!$D$23)))</f>
        <v/>
      </c>
      <c r="Q57" s="45">
        <f>O57+P57</f>
        <v/>
      </c>
      <c r="R57" s="45">
        <f>IF(OR(B57="PRE",B57="PRO"),Q57*$B$3,0)</f>
        <v/>
      </c>
      <c r="S57" s="45">
        <f>Q57+R57</f>
        <v/>
      </c>
    </row>
    <row r="58">
      <c r="A58">
        <f>Measurement!A55</f>
        <v/>
      </c>
      <c r="B58">
        <f>Measurement!B55</f>
        <v/>
      </c>
      <c r="C58">
        <f>Measurement!C55</f>
        <v/>
      </c>
      <c r="D58" s="43">
        <f>Measurement!D55</f>
        <v/>
      </c>
      <c r="E58" s="43">
        <f>Measurement!J55</f>
        <v/>
      </c>
      <c r="F58" s="43">
        <f>Measurement!E55</f>
        <v/>
      </c>
      <c r="G58" s="67">
        <f>Measurement!F55</f>
        <v/>
      </c>
      <c r="H58" s="67">
        <f>Measurement!I55</f>
        <v/>
      </c>
      <c r="I58" s="32">
        <f>Measurement!G55</f>
        <v/>
      </c>
      <c r="J58" s="42">
        <f>IF(B58="PRE",IF(Parameters!$B$21=0,0,I58/Parameters!$B$21),IF(B58="PRO",IF(Parameters!$C$21=0,0,I58/Parameters!$C$21),IF(Parameters!$D$21=0,0,I58/Parameters!$D$21)))</f>
        <v/>
      </c>
      <c r="K58" s="32">
        <f>Measurement!H55</f>
        <v/>
      </c>
      <c r="L58" s="42">
        <f>IF(B58="PRE",IF(Parameters!$B$22=0,0,K58/Parameters!$B$22),IF(B58="PRO",IF(Parameters!$C$22=0,0,K58/Parameters!$C$22),IF(Parameters!$D$22=0,0,K58/Parameters!$D$22)))</f>
        <v/>
      </c>
      <c r="M58" s="43">
        <f>IF(B58="PRE",J58*Parameters!$B$11,IF(B58="PRO",J58*Parameters!$C$11,J58*Parameters!$E$11))</f>
        <v/>
      </c>
      <c r="N58" s="43">
        <f>IF(B58="PRE",L58*Parameters!$B$12,IF(B58="PRO",L58*Parameters!$C$12,L58*Parameters!$E$12))</f>
        <v/>
      </c>
      <c r="O58" s="45">
        <f>(M58+N58)*Parameters!$B$5</f>
        <v/>
      </c>
      <c r="P58" s="45">
        <f>IF(B58="PRE",L58*Parameters!$B$23,IF(B58="PRO",L58*Parameters!$C$23,IF(Parameters!$D$22=0,J58*Parameters!$D$23,L58*Parameters!$D$23)))</f>
        <v/>
      </c>
      <c r="Q58" s="45">
        <f>O58+P58</f>
        <v/>
      </c>
      <c r="R58" s="45">
        <f>IF(OR(B58="PRE",B58="PRO"),Q58*$B$3,0)</f>
        <v/>
      </c>
      <c r="S58" s="45">
        <f>Q58+R58</f>
        <v/>
      </c>
    </row>
    <row r="59">
      <c r="A59">
        <f>Measurement!A56</f>
        <v/>
      </c>
      <c r="B59">
        <f>Measurement!B56</f>
        <v/>
      </c>
      <c r="C59">
        <f>Measurement!C56</f>
        <v/>
      </c>
      <c r="D59" s="43">
        <f>Measurement!D56</f>
        <v/>
      </c>
      <c r="E59" s="43">
        <f>Measurement!J56</f>
        <v/>
      </c>
      <c r="F59" s="43">
        <f>Measurement!E56</f>
        <v/>
      </c>
      <c r="G59" s="67">
        <f>Measurement!F56</f>
        <v/>
      </c>
      <c r="H59" s="67">
        <f>Measurement!I56</f>
        <v/>
      </c>
      <c r="I59" s="32">
        <f>Measurement!G56</f>
        <v/>
      </c>
      <c r="J59" s="42">
        <f>IF(B59="PRE",IF(Parameters!$B$21=0,0,I59/Parameters!$B$21),IF(B59="PRO",IF(Parameters!$C$21=0,0,I59/Parameters!$C$21),IF(Parameters!$D$21=0,0,I59/Parameters!$D$21)))</f>
        <v/>
      </c>
      <c r="K59" s="32">
        <f>Measurement!H56</f>
        <v/>
      </c>
      <c r="L59" s="42">
        <f>IF(B59="PRE",IF(Parameters!$B$22=0,0,K59/Parameters!$B$22),IF(B59="PRO",IF(Parameters!$C$22=0,0,K59/Parameters!$C$22),IF(Parameters!$D$22=0,0,K59/Parameters!$D$22)))</f>
        <v/>
      </c>
      <c r="M59" s="43">
        <f>IF(B59="PRE",J59*Parameters!$B$11,IF(B59="PRO",J59*Parameters!$C$11,J59*Parameters!$E$11))</f>
        <v/>
      </c>
      <c r="N59" s="43">
        <f>IF(B59="PRE",L59*Parameters!$B$12,IF(B59="PRO",L59*Parameters!$C$12,L59*Parameters!$E$12))</f>
        <v/>
      </c>
      <c r="O59" s="45">
        <f>(M59+N59)*Parameters!$B$5</f>
        <v/>
      </c>
      <c r="P59" s="45">
        <f>IF(B59="PRE",L59*Parameters!$B$23,IF(B59="PRO",L59*Parameters!$C$23,IF(Parameters!$D$22=0,J59*Parameters!$D$23,L59*Parameters!$D$23)))</f>
        <v/>
      </c>
      <c r="Q59" s="45">
        <f>O59+P59</f>
        <v/>
      </c>
      <c r="R59" s="45">
        <f>IF(OR(B59="PRE",B59="PRO"),Q59*$B$3,0)</f>
        <v/>
      </c>
      <c r="S59" s="45">
        <f>Q59+R59</f>
        <v/>
      </c>
    </row>
    <row r="60">
      <c r="A60">
        <f>Measurement!A57</f>
        <v/>
      </c>
      <c r="B60">
        <f>Measurement!B57</f>
        <v/>
      </c>
      <c r="C60">
        <f>Measurement!C57</f>
        <v/>
      </c>
      <c r="D60" s="43">
        <f>Measurement!D57</f>
        <v/>
      </c>
      <c r="E60" s="43">
        <f>Measurement!J57</f>
        <v/>
      </c>
      <c r="F60" s="43">
        <f>Measurement!E57</f>
        <v/>
      </c>
      <c r="G60" s="67">
        <f>Measurement!F57</f>
        <v/>
      </c>
      <c r="H60" s="67">
        <f>Measurement!I57</f>
        <v/>
      </c>
      <c r="I60" s="32">
        <f>Measurement!G57</f>
        <v/>
      </c>
      <c r="J60" s="42">
        <f>IF(B60="PRE",IF(Parameters!$B$21=0,0,I60/Parameters!$B$21),IF(B60="PRO",IF(Parameters!$C$21=0,0,I60/Parameters!$C$21),IF(Parameters!$D$21=0,0,I60/Parameters!$D$21)))</f>
        <v/>
      </c>
      <c r="K60" s="32">
        <f>Measurement!H57</f>
        <v/>
      </c>
      <c r="L60" s="42">
        <f>IF(B60="PRE",IF(Parameters!$B$22=0,0,K60/Parameters!$B$22),IF(B60="PRO",IF(Parameters!$C$22=0,0,K60/Parameters!$C$22),IF(Parameters!$D$22=0,0,K60/Parameters!$D$22)))</f>
        <v/>
      </c>
      <c r="M60" s="43">
        <f>IF(B60="PRE",J60*Parameters!$B$11,IF(B60="PRO",J60*Parameters!$C$11,J60*Parameters!$E$11))</f>
        <v/>
      </c>
      <c r="N60" s="43">
        <f>IF(B60="PRE",L60*Parameters!$B$12,IF(B60="PRO",L60*Parameters!$C$12,L60*Parameters!$E$12))</f>
        <v/>
      </c>
      <c r="O60" s="45">
        <f>(M60+N60)*Parameters!$B$5</f>
        <v/>
      </c>
      <c r="P60" s="45">
        <f>IF(B60="PRE",L60*Parameters!$B$23,IF(B60="PRO",L60*Parameters!$C$23,IF(Parameters!$D$22=0,J60*Parameters!$D$23,L60*Parameters!$D$23)))</f>
        <v/>
      </c>
      <c r="Q60" s="45">
        <f>O60+P60</f>
        <v/>
      </c>
      <c r="R60" s="45">
        <f>IF(OR(B60="PRE",B60="PRO"),Q60*$B$3,0)</f>
        <v/>
      </c>
      <c r="S60" s="45">
        <f>Q60+R60</f>
        <v/>
      </c>
    </row>
    <row r="61">
      <c r="A61">
        <f>Measurement!A58</f>
        <v/>
      </c>
      <c r="B61">
        <f>Measurement!B58</f>
        <v/>
      </c>
      <c r="C61">
        <f>Measurement!C58</f>
        <v/>
      </c>
      <c r="D61" s="43">
        <f>Measurement!D58</f>
        <v/>
      </c>
      <c r="E61" s="43">
        <f>Measurement!J58</f>
        <v/>
      </c>
      <c r="F61" s="43">
        <f>Measurement!E58</f>
        <v/>
      </c>
      <c r="G61" s="67">
        <f>Measurement!F58</f>
        <v/>
      </c>
      <c r="H61" s="67">
        <f>Measurement!I58</f>
        <v/>
      </c>
      <c r="I61" s="32">
        <f>Measurement!G58</f>
        <v/>
      </c>
      <c r="J61" s="42">
        <f>IF(B61="PRE",IF(Parameters!$B$21=0,0,I61/Parameters!$B$21),IF(B61="PRO",IF(Parameters!$C$21=0,0,I61/Parameters!$C$21),IF(Parameters!$D$21=0,0,I61/Parameters!$D$21)))</f>
        <v/>
      </c>
      <c r="K61" s="32">
        <f>Measurement!H58</f>
        <v/>
      </c>
      <c r="L61" s="42">
        <f>IF(B61="PRE",IF(Parameters!$B$22=0,0,K61/Parameters!$B$22),IF(B61="PRO",IF(Parameters!$C$22=0,0,K61/Parameters!$C$22),IF(Parameters!$D$22=0,0,K61/Parameters!$D$22)))</f>
        <v/>
      </c>
      <c r="M61" s="43">
        <f>IF(B61="PRE",J61*Parameters!$B$11,IF(B61="PRO",J61*Parameters!$C$11,J61*Parameters!$E$11))</f>
        <v/>
      </c>
      <c r="N61" s="43">
        <f>IF(B61="PRE",L61*Parameters!$B$12,IF(B61="PRO",L61*Parameters!$C$12,L61*Parameters!$E$12))</f>
        <v/>
      </c>
      <c r="O61" s="45">
        <f>(M61+N61)*Parameters!$B$5</f>
        <v/>
      </c>
      <c r="P61" s="45">
        <f>IF(B61="PRE",L61*Parameters!$B$23,IF(B61="PRO",L61*Parameters!$C$23,IF(Parameters!$D$22=0,J61*Parameters!$D$23,L61*Parameters!$D$23)))</f>
        <v/>
      </c>
      <c r="Q61" s="45">
        <f>O61+P61</f>
        <v/>
      </c>
      <c r="R61" s="45">
        <f>IF(OR(B61="PRE",B61="PRO"),Q61*$B$3,0)</f>
        <v/>
      </c>
      <c r="S61" s="45">
        <f>Q61+R61</f>
        <v/>
      </c>
    </row>
    <row r="62">
      <c r="A62">
        <f>Measurement!A59</f>
        <v/>
      </c>
      <c r="B62">
        <f>Measurement!B59</f>
        <v/>
      </c>
      <c r="C62">
        <f>Measurement!C59</f>
        <v/>
      </c>
      <c r="D62" s="43">
        <f>Measurement!D59</f>
        <v/>
      </c>
      <c r="E62" s="43">
        <f>Measurement!J59</f>
        <v/>
      </c>
      <c r="F62" s="43">
        <f>Measurement!E59</f>
        <v/>
      </c>
      <c r="G62" s="67">
        <f>Measurement!F59</f>
        <v/>
      </c>
      <c r="H62" s="67">
        <f>Measurement!I59</f>
        <v/>
      </c>
      <c r="I62" s="32">
        <f>Measurement!G59</f>
        <v/>
      </c>
      <c r="J62" s="42">
        <f>IF(B62="PRE",IF(Parameters!$B$21=0,0,I62/Parameters!$B$21),IF(B62="PRO",IF(Parameters!$C$21=0,0,I62/Parameters!$C$21),IF(Parameters!$D$21=0,0,I62/Parameters!$D$21)))</f>
        <v/>
      </c>
      <c r="K62" s="32">
        <f>Measurement!H59</f>
        <v/>
      </c>
      <c r="L62" s="42">
        <f>IF(B62="PRE",IF(Parameters!$B$22=0,0,K62/Parameters!$B$22),IF(B62="PRO",IF(Parameters!$C$22=0,0,K62/Parameters!$C$22),IF(Parameters!$D$22=0,0,K62/Parameters!$D$22)))</f>
        <v/>
      </c>
      <c r="M62" s="43">
        <f>IF(B62="PRE",J62*Parameters!$B$11,IF(B62="PRO",J62*Parameters!$C$11,J62*Parameters!$E$11))</f>
        <v/>
      </c>
      <c r="N62" s="43">
        <f>IF(B62="PRE",L62*Parameters!$B$12,IF(B62="PRO",L62*Parameters!$C$12,L62*Parameters!$E$12))</f>
        <v/>
      </c>
      <c r="O62" s="45">
        <f>(M62+N62)*Parameters!$B$5</f>
        <v/>
      </c>
      <c r="P62" s="45">
        <f>IF(B62="PRE",L62*Parameters!$B$23,IF(B62="PRO",L62*Parameters!$C$23,IF(Parameters!$D$22=0,J62*Parameters!$D$23,L62*Parameters!$D$23)))</f>
        <v/>
      </c>
      <c r="Q62" s="45">
        <f>O62+P62</f>
        <v/>
      </c>
      <c r="R62" s="45">
        <f>IF(OR(B62="PRE",B62="PRO"),Q62*$B$3,0)</f>
        <v/>
      </c>
      <c r="S62" s="45">
        <f>Q62+R62</f>
        <v/>
      </c>
    </row>
    <row r="63">
      <c r="A63">
        <f>Measurement!A60</f>
        <v/>
      </c>
      <c r="B63">
        <f>Measurement!B60</f>
        <v/>
      </c>
      <c r="C63">
        <f>Measurement!C60</f>
        <v/>
      </c>
      <c r="D63" s="43">
        <f>Measurement!D60</f>
        <v/>
      </c>
      <c r="E63" s="43">
        <f>Measurement!J60</f>
        <v/>
      </c>
      <c r="F63" s="43">
        <f>Measurement!E60</f>
        <v/>
      </c>
      <c r="G63" s="67">
        <f>Measurement!F60</f>
        <v/>
      </c>
      <c r="H63" s="67">
        <f>Measurement!I60</f>
        <v/>
      </c>
      <c r="I63" s="32">
        <f>Measurement!G60</f>
        <v/>
      </c>
      <c r="J63" s="42">
        <f>IF(B63="PRE",IF(Parameters!$B$21=0,0,I63/Parameters!$B$21),IF(B63="PRO",IF(Parameters!$C$21=0,0,I63/Parameters!$C$21),IF(Parameters!$D$21=0,0,I63/Parameters!$D$21)))</f>
        <v/>
      </c>
      <c r="K63" s="32">
        <f>Measurement!H60</f>
        <v/>
      </c>
      <c r="L63" s="42">
        <f>IF(B63="PRE",IF(Parameters!$B$22=0,0,K63/Parameters!$B$22),IF(B63="PRO",IF(Parameters!$C$22=0,0,K63/Parameters!$C$22),IF(Parameters!$D$22=0,0,K63/Parameters!$D$22)))</f>
        <v/>
      </c>
      <c r="M63" s="43">
        <f>IF(B63="PRE",J63*Parameters!$B$11,IF(B63="PRO",J63*Parameters!$C$11,J63*Parameters!$E$11))</f>
        <v/>
      </c>
      <c r="N63" s="43">
        <f>IF(B63="PRE",L63*Parameters!$B$12,IF(B63="PRO",L63*Parameters!$C$12,L63*Parameters!$E$12))</f>
        <v/>
      </c>
      <c r="O63" s="45">
        <f>(M63+N63)*Parameters!$B$5</f>
        <v/>
      </c>
      <c r="P63" s="45">
        <f>IF(B63="PRE",L63*Parameters!$B$23,IF(B63="PRO",L63*Parameters!$C$23,IF(Parameters!$D$22=0,J63*Parameters!$D$23,L63*Parameters!$D$23)))</f>
        <v/>
      </c>
      <c r="Q63" s="45">
        <f>O63+P63</f>
        <v/>
      </c>
      <c r="R63" s="45">
        <f>IF(OR(B63="PRE",B63="PRO"),Q63*$B$3,0)</f>
        <v/>
      </c>
      <c r="S63" s="45">
        <f>Q63+R63</f>
        <v/>
      </c>
    </row>
    <row r="64">
      <c r="A64">
        <f>Measurement!A61</f>
        <v/>
      </c>
      <c r="B64">
        <f>Measurement!B61</f>
        <v/>
      </c>
      <c r="C64">
        <f>Measurement!C61</f>
        <v/>
      </c>
      <c r="D64" s="43">
        <f>Measurement!D61</f>
        <v/>
      </c>
      <c r="E64" s="43">
        <f>Measurement!J61</f>
        <v/>
      </c>
      <c r="F64" s="43">
        <f>Measurement!E61</f>
        <v/>
      </c>
      <c r="G64" s="67">
        <f>Measurement!F61</f>
        <v/>
      </c>
      <c r="H64" s="67">
        <f>Measurement!I61</f>
        <v/>
      </c>
      <c r="I64" s="32">
        <f>Measurement!G61</f>
        <v/>
      </c>
      <c r="J64" s="42">
        <f>IF(B64="PRE",IF(Parameters!$B$21=0,0,I64/Parameters!$B$21),IF(B64="PRO",IF(Parameters!$C$21=0,0,I64/Parameters!$C$21),IF(Parameters!$D$21=0,0,I64/Parameters!$D$21)))</f>
        <v/>
      </c>
      <c r="K64" s="32">
        <f>Measurement!H61</f>
        <v/>
      </c>
      <c r="L64" s="42">
        <f>IF(B64="PRE",IF(Parameters!$B$22=0,0,K64/Parameters!$B$22),IF(B64="PRO",IF(Parameters!$C$22=0,0,K64/Parameters!$C$22),IF(Parameters!$D$22=0,0,K64/Parameters!$D$22)))</f>
        <v/>
      </c>
      <c r="M64" s="43">
        <f>IF(B64="PRE",J64*Parameters!$B$11,IF(B64="PRO",J64*Parameters!$C$11,J64*Parameters!$E$11))</f>
        <v/>
      </c>
      <c r="N64" s="43">
        <f>IF(B64="PRE",L64*Parameters!$B$12,IF(B64="PRO",L64*Parameters!$C$12,L64*Parameters!$E$12))</f>
        <v/>
      </c>
      <c r="O64" s="45">
        <f>(M64+N64)*Parameters!$B$5</f>
        <v/>
      </c>
      <c r="P64" s="45">
        <f>IF(B64="PRE",L64*Parameters!$B$23,IF(B64="PRO",L64*Parameters!$C$23,IF(Parameters!$D$22=0,J64*Parameters!$D$23,L64*Parameters!$D$23)))</f>
        <v/>
      </c>
      <c r="Q64" s="45">
        <f>O64+P64</f>
        <v/>
      </c>
      <c r="R64" s="45">
        <f>IF(OR(B64="PRE",B64="PRO"),Q64*$B$3,0)</f>
        <v/>
      </c>
      <c r="S64" s="45">
        <f>Q64+R64</f>
        <v/>
      </c>
    </row>
    <row r="65">
      <c r="A65">
        <f>Measurement!A62</f>
        <v/>
      </c>
      <c r="B65">
        <f>Measurement!B62</f>
        <v/>
      </c>
      <c r="C65">
        <f>Measurement!C62</f>
        <v/>
      </c>
      <c r="D65" s="43">
        <f>Measurement!D62</f>
        <v/>
      </c>
      <c r="E65" s="43">
        <f>Measurement!J62</f>
        <v/>
      </c>
      <c r="F65" s="43">
        <f>Measurement!E62</f>
        <v/>
      </c>
      <c r="G65" s="67">
        <f>Measurement!F62</f>
        <v/>
      </c>
      <c r="H65" s="67">
        <f>Measurement!I62</f>
        <v/>
      </c>
      <c r="I65" s="32">
        <f>Measurement!G62</f>
        <v/>
      </c>
      <c r="J65" s="42">
        <f>IF(B65="PRE",IF(Parameters!$B$21=0,0,I65/Parameters!$B$21),IF(B65="PRO",IF(Parameters!$C$21=0,0,I65/Parameters!$C$21),IF(Parameters!$D$21=0,0,I65/Parameters!$D$21)))</f>
        <v/>
      </c>
      <c r="K65" s="32">
        <f>Measurement!H62</f>
        <v/>
      </c>
      <c r="L65" s="42">
        <f>IF(B65="PRE",IF(Parameters!$B$22=0,0,K65/Parameters!$B$22),IF(B65="PRO",IF(Parameters!$C$22=0,0,K65/Parameters!$C$22),IF(Parameters!$D$22=0,0,K65/Parameters!$D$22)))</f>
        <v/>
      </c>
      <c r="M65" s="43">
        <f>IF(B65="PRE",J65*Parameters!$B$11,IF(B65="PRO",J65*Parameters!$C$11,J65*Parameters!$E$11))</f>
        <v/>
      </c>
      <c r="N65" s="43">
        <f>IF(B65="PRE",L65*Parameters!$B$12,IF(B65="PRO",L65*Parameters!$C$12,L65*Parameters!$E$12))</f>
        <v/>
      </c>
      <c r="O65" s="45">
        <f>(M65+N65)*Parameters!$B$5</f>
        <v/>
      </c>
      <c r="P65" s="45">
        <f>IF(B65="PRE",L65*Parameters!$B$23,IF(B65="PRO",L65*Parameters!$C$23,IF(Parameters!$D$22=0,J65*Parameters!$D$23,L65*Parameters!$D$23)))</f>
        <v/>
      </c>
      <c r="Q65" s="45">
        <f>O65+P65</f>
        <v/>
      </c>
      <c r="R65" s="45">
        <f>IF(OR(B65="PRE",B65="PRO"),Q65*$B$3,0)</f>
        <v/>
      </c>
      <c r="S65" s="45">
        <f>Q65+R65</f>
        <v/>
      </c>
    </row>
    <row r="66">
      <c r="A66">
        <f>Measurement!A63</f>
        <v/>
      </c>
      <c r="B66">
        <f>Measurement!B63</f>
        <v/>
      </c>
      <c r="C66">
        <f>Measurement!C63</f>
        <v/>
      </c>
      <c r="D66" s="43">
        <f>Measurement!D63</f>
        <v/>
      </c>
      <c r="E66" s="43">
        <f>Measurement!J63</f>
        <v/>
      </c>
      <c r="F66" s="43">
        <f>Measurement!E63</f>
        <v/>
      </c>
      <c r="G66" s="67">
        <f>Measurement!F63</f>
        <v/>
      </c>
      <c r="H66" s="67">
        <f>Measurement!I63</f>
        <v/>
      </c>
      <c r="I66" s="32">
        <f>Measurement!G63</f>
        <v/>
      </c>
      <c r="J66" s="42">
        <f>IF(B66="PRE",IF(Parameters!$B$21=0,0,I66/Parameters!$B$21),IF(B66="PRO",IF(Parameters!$C$21=0,0,I66/Parameters!$C$21),IF(Parameters!$D$21=0,0,I66/Parameters!$D$21)))</f>
        <v/>
      </c>
      <c r="K66" s="32">
        <f>Measurement!H63</f>
        <v/>
      </c>
      <c r="L66" s="42">
        <f>IF(B66="PRE",IF(Parameters!$B$22=0,0,K66/Parameters!$B$22),IF(B66="PRO",IF(Parameters!$C$22=0,0,K66/Parameters!$C$22),IF(Parameters!$D$22=0,0,K66/Parameters!$D$22)))</f>
        <v/>
      </c>
      <c r="M66" s="43">
        <f>IF(B66="PRE",J66*Parameters!$B$11,IF(B66="PRO",J66*Parameters!$C$11,J66*Parameters!$E$11))</f>
        <v/>
      </c>
      <c r="N66" s="43">
        <f>IF(B66="PRE",L66*Parameters!$B$12,IF(B66="PRO",L66*Parameters!$C$12,L66*Parameters!$E$12))</f>
        <v/>
      </c>
      <c r="O66" s="45">
        <f>(M66+N66)*Parameters!$B$5</f>
        <v/>
      </c>
      <c r="P66" s="45">
        <f>IF(B66="PRE",L66*Parameters!$B$23,IF(B66="PRO",L66*Parameters!$C$23,IF(Parameters!$D$22=0,J66*Parameters!$D$23,L66*Parameters!$D$23)))</f>
        <v/>
      </c>
      <c r="Q66" s="45">
        <f>O66+P66</f>
        <v/>
      </c>
      <c r="R66" s="45">
        <f>IF(OR(B66="PRE",B66="PRO"),Q66*$B$3,0)</f>
        <v/>
      </c>
      <c r="S66" s="45">
        <f>Q66+R66</f>
        <v/>
      </c>
    </row>
    <row r="67">
      <c r="A67">
        <f>Measurement!A64</f>
        <v/>
      </c>
      <c r="B67">
        <f>Measurement!B64</f>
        <v/>
      </c>
      <c r="C67">
        <f>Measurement!C64</f>
        <v/>
      </c>
      <c r="D67" s="43">
        <f>Measurement!D64</f>
        <v/>
      </c>
      <c r="E67" s="43">
        <f>Measurement!J64</f>
        <v/>
      </c>
      <c r="F67" s="43">
        <f>Measurement!E64</f>
        <v/>
      </c>
      <c r="G67" s="67">
        <f>Measurement!F64</f>
        <v/>
      </c>
      <c r="H67" s="67">
        <f>Measurement!I64</f>
        <v/>
      </c>
      <c r="I67" s="32">
        <f>Measurement!G64</f>
        <v/>
      </c>
      <c r="J67" s="42">
        <f>IF(B67="PRE",IF(Parameters!$B$21=0,0,I67/Parameters!$B$21),IF(B67="PRO",IF(Parameters!$C$21=0,0,I67/Parameters!$C$21),IF(Parameters!$D$21=0,0,I67/Parameters!$D$21)))</f>
        <v/>
      </c>
      <c r="K67" s="32">
        <f>Measurement!H64</f>
        <v/>
      </c>
      <c r="L67" s="42">
        <f>IF(B67="PRE",IF(Parameters!$B$22=0,0,K67/Parameters!$B$22),IF(B67="PRO",IF(Parameters!$C$22=0,0,K67/Parameters!$C$22),IF(Parameters!$D$22=0,0,K67/Parameters!$D$22)))</f>
        <v/>
      </c>
      <c r="M67" s="43">
        <f>IF(B67="PRE",J67*Parameters!$B$11,IF(B67="PRO",J67*Parameters!$C$11,J67*Parameters!$E$11))</f>
        <v/>
      </c>
      <c r="N67" s="43">
        <f>IF(B67="PRE",L67*Parameters!$B$12,IF(B67="PRO",L67*Parameters!$C$12,L67*Parameters!$E$12))</f>
        <v/>
      </c>
      <c r="O67" s="45">
        <f>(M67+N67)*Parameters!$B$5</f>
        <v/>
      </c>
      <c r="P67" s="45">
        <f>IF(B67="PRE",L67*Parameters!$B$23,IF(B67="PRO",L67*Parameters!$C$23,IF(Parameters!$D$22=0,J67*Parameters!$D$23,L67*Parameters!$D$23)))</f>
        <v/>
      </c>
      <c r="Q67" s="45">
        <f>O67+P67</f>
        <v/>
      </c>
      <c r="R67" s="45">
        <f>IF(OR(B67="PRE",B67="PRO"),Q67*$B$3,0)</f>
        <v/>
      </c>
      <c r="S67" s="45">
        <f>Q67+R67</f>
        <v/>
      </c>
    </row>
    <row r="68">
      <c r="A68">
        <f>Measurement!A65</f>
        <v/>
      </c>
      <c r="B68">
        <f>Measurement!B65</f>
        <v/>
      </c>
      <c r="C68">
        <f>Measurement!C65</f>
        <v/>
      </c>
      <c r="D68" s="43">
        <f>Measurement!D65</f>
        <v/>
      </c>
      <c r="E68" s="43">
        <f>Measurement!J65</f>
        <v/>
      </c>
      <c r="F68" s="43">
        <f>Measurement!E65</f>
        <v/>
      </c>
      <c r="G68" s="67">
        <f>Measurement!F65</f>
        <v/>
      </c>
      <c r="H68" s="67">
        <f>Measurement!I65</f>
        <v/>
      </c>
      <c r="I68" s="32">
        <f>Measurement!G65</f>
        <v/>
      </c>
      <c r="J68" s="42">
        <f>IF(B68="PRE",IF(Parameters!$B$21=0,0,I68/Parameters!$B$21),IF(B68="PRO",IF(Parameters!$C$21=0,0,I68/Parameters!$C$21),IF(Parameters!$D$21=0,0,I68/Parameters!$D$21)))</f>
        <v/>
      </c>
      <c r="K68" s="32">
        <f>Measurement!H65</f>
        <v/>
      </c>
      <c r="L68" s="42">
        <f>IF(B68="PRE",IF(Parameters!$B$22=0,0,K68/Parameters!$B$22),IF(B68="PRO",IF(Parameters!$C$22=0,0,K68/Parameters!$C$22),IF(Parameters!$D$22=0,0,K68/Parameters!$D$22)))</f>
        <v/>
      </c>
      <c r="M68" s="43">
        <f>IF(B68="PRE",J68*Parameters!$B$11,IF(B68="PRO",J68*Parameters!$C$11,J68*Parameters!$E$11))</f>
        <v/>
      </c>
      <c r="N68" s="43">
        <f>IF(B68="PRE",L68*Parameters!$B$12,IF(B68="PRO",L68*Parameters!$C$12,L68*Parameters!$E$12))</f>
        <v/>
      </c>
      <c r="O68" s="45">
        <f>(M68+N68)*Parameters!$B$5</f>
        <v/>
      </c>
      <c r="P68" s="45">
        <f>IF(B68="PRE",L68*Parameters!$B$23,IF(B68="PRO",L68*Parameters!$C$23,IF(Parameters!$D$22=0,J68*Parameters!$D$23,L68*Parameters!$D$23)))</f>
        <v/>
      </c>
      <c r="Q68" s="45">
        <f>O68+P68</f>
        <v/>
      </c>
      <c r="R68" s="45">
        <f>IF(OR(B68="PRE",B68="PRO"),Q68*$B$3,0)</f>
        <v/>
      </c>
      <c r="S68" s="45">
        <f>Q68+R68</f>
        <v/>
      </c>
    </row>
    <row r="69">
      <c r="A69">
        <f>Measurement!A66</f>
        <v/>
      </c>
      <c r="B69">
        <f>Measurement!B66</f>
        <v/>
      </c>
      <c r="C69">
        <f>Measurement!C66</f>
        <v/>
      </c>
      <c r="D69" s="43">
        <f>Measurement!D66</f>
        <v/>
      </c>
      <c r="E69" s="43">
        <f>Measurement!J66</f>
        <v/>
      </c>
      <c r="F69" s="43">
        <f>Measurement!E66</f>
        <v/>
      </c>
      <c r="G69" s="67">
        <f>Measurement!F66</f>
        <v/>
      </c>
      <c r="H69" s="67">
        <f>Measurement!I66</f>
        <v/>
      </c>
      <c r="I69" s="32">
        <f>Measurement!G66</f>
        <v/>
      </c>
      <c r="J69" s="42">
        <f>IF(B69="PRE",IF(Parameters!$B$21=0,0,I69/Parameters!$B$21),IF(B69="PRO",IF(Parameters!$C$21=0,0,I69/Parameters!$C$21),IF(Parameters!$D$21=0,0,I69/Parameters!$D$21)))</f>
        <v/>
      </c>
      <c r="K69" s="32">
        <f>Measurement!H66</f>
        <v/>
      </c>
      <c r="L69" s="42">
        <f>IF(B69="PRE",IF(Parameters!$B$22=0,0,K69/Parameters!$B$22),IF(B69="PRO",IF(Parameters!$C$22=0,0,K69/Parameters!$C$22),IF(Parameters!$D$22=0,0,K69/Parameters!$D$22)))</f>
        <v/>
      </c>
      <c r="M69" s="43">
        <f>IF(B69="PRE",J69*Parameters!$B$11,IF(B69="PRO",J69*Parameters!$C$11,J69*Parameters!$E$11))</f>
        <v/>
      </c>
      <c r="N69" s="43">
        <f>IF(B69="PRE",L69*Parameters!$B$12,IF(B69="PRO",L69*Parameters!$C$12,L69*Parameters!$E$12))</f>
        <v/>
      </c>
      <c r="O69" s="45">
        <f>(M69+N69)*Parameters!$B$5</f>
        <v/>
      </c>
      <c r="P69" s="45">
        <f>IF(B69="PRE",L69*Parameters!$B$23,IF(B69="PRO",L69*Parameters!$C$23,IF(Parameters!$D$22=0,J69*Parameters!$D$23,L69*Parameters!$D$23)))</f>
        <v/>
      </c>
      <c r="Q69" s="45">
        <f>O69+P69</f>
        <v/>
      </c>
      <c r="R69" s="45">
        <f>IF(OR(B69="PRE",B69="PRO"),Q69*$B$3,0)</f>
        <v/>
      </c>
      <c r="S69" s="45">
        <f>Q69+R69</f>
        <v/>
      </c>
    </row>
    <row r="70">
      <c r="A70">
        <f>Measurement!A67</f>
        <v/>
      </c>
      <c r="B70">
        <f>Measurement!B67</f>
        <v/>
      </c>
      <c r="C70">
        <f>Measurement!C67</f>
        <v/>
      </c>
      <c r="D70" s="43">
        <f>Measurement!D67</f>
        <v/>
      </c>
      <c r="E70" s="43">
        <f>Measurement!J67</f>
        <v/>
      </c>
      <c r="F70" s="43">
        <f>Measurement!E67</f>
        <v/>
      </c>
      <c r="G70" s="67">
        <f>Measurement!F67</f>
        <v/>
      </c>
      <c r="H70" s="67">
        <f>Measurement!I67</f>
        <v/>
      </c>
      <c r="I70" s="32">
        <f>Measurement!G67</f>
        <v/>
      </c>
      <c r="J70" s="42">
        <f>IF(B70="PRE",IF(Parameters!$B$21=0,0,I70/Parameters!$B$21),IF(B70="PRO",IF(Parameters!$C$21=0,0,I70/Parameters!$C$21),IF(Parameters!$D$21=0,0,I70/Parameters!$D$21)))</f>
        <v/>
      </c>
      <c r="K70" s="32">
        <f>Measurement!H67</f>
        <v/>
      </c>
      <c r="L70" s="42">
        <f>IF(B70="PRE",IF(Parameters!$B$22=0,0,K70/Parameters!$B$22),IF(B70="PRO",IF(Parameters!$C$22=0,0,K70/Parameters!$C$22),IF(Parameters!$D$22=0,0,K70/Parameters!$D$22)))</f>
        <v/>
      </c>
      <c r="M70" s="43">
        <f>IF(B70="PRE",J70*Parameters!$B$11,IF(B70="PRO",J70*Parameters!$C$11,J70*Parameters!$E$11))</f>
        <v/>
      </c>
      <c r="N70" s="43">
        <f>IF(B70="PRE",L70*Parameters!$B$12,IF(B70="PRO",L70*Parameters!$C$12,L70*Parameters!$E$12))</f>
        <v/>
      </c>
      <c r="O70" s="45">
        <f>(M70+N70)*Parameters!$B$5</f>
        <v/>
      </c>
      <c r="P70" s="45">
        <f>IF(B70="PRE",L70*Parameters!$B$23,IF(B70="PRO",L70*Parameters!$C$23,IF(Parameters!$D$22=0,J70*Parameters!$D$23,L70*Parameters!$D$23)))</f>
        <v/>
      </c>
      <c r="Q70" s="45">
        <f>O70+P70</f>
        <v/>
      </c>
      <c r="R70" s="45">
        <f>IF(OR(B70="PRE",B70="PRO"),Q70*$B$3,0)</f>
        <v/>
      </c>
      <c r="S70" s="45">
        <f>Q70+R70</f>
        <v/>
      </c>
    </row>
    <row r="71">
      <c r="A71">
        <f>Measurement!A68</f>
        <v/>
      </c>
      <c r="B71">
        <f>Measurement!B68</f>
        <v/>
      </c>
      <c r="C71">
        <f>Measurement!C68</f>
        <v/>
      </c>
      <c r="D71" s="43">
        <f>Measurement!D68</f>
        <v/>
      </c>
      <c r="E71" s="43">
        <f>Measurement!J68</f>
        <v/>
      </c>
      <c r="F71" s="43">
        <f>Measurement!E68</f>
        <v/>
      </c>
      <c r="G71" s="67">
        <f>Measurement!F68</f>
        <v/>
      </c>
      <c r="H71" s="67">
        <f>Measurement!I68</f>
        <v/>
      </c>
      <c r="I71" s="32">
        <f>Measurement!G68</f>
        <v/>
      </c>
      <c r="J71" s="42">
        <f>IF(B71="PRE",IF(Parameters!$B$21=0,0,I71/Parameters!$B$21),IF(B71="PRO",IF(Parameters!$C$21=0,0,I71/Parameters!$C$21),IF(Parameters!$D$21=0,0,I71/Parameters!$D$21)))</f>
        <v/>
      </c>
      <c r="K71" s="32">
        <f>Measurement!H68</f>
        <v/>
      </c>
      <c r="L71" s="42">
        <f>IF(B71="PRE",IF(Parameters!$B$22=0,0,K71/Parameters!$B$22),IF(B71="PRO",IF(Parameters!$C$22=0,0,K71/Parameters!$C$22),IF(Parameters!$D$22=0,0,K71/Parameters!$D$22)))</f>
        <v/>
      </c>
      <c r="M71" s="43">
        <f>IF(B71="PRE",J71*Parameters!$B$11,IF(B71="PRO",J71*Parameters!$C$11,J71*Parameters!$E$11))</f>
        <v/>
      </c>
      <c r="N71" s="43">
        <f>IF(B71="PRE",L71*Parameters!$B$12,IF(B71="PRO",L71*Parameters!$C$12,L71*Parameters!$E$12))</f>
        <v/>
      </c>
      <c r="O71" s="45">
        <f>(M71+N71)*Parameters!$B$5</f>
        <v/>
      </c>
      <c r="P71" s="45">
        <f>IF(B71="PRE",L71*Parameters!$B$23,IF(B71="PRO",L71*Parameters!$C$23,IF(Parameters!$D$22=0,J71*Parameters!$D$23,L71*Parameters!$D$23)))</f>
        <v/>
      </c>
      <c r="Q71" s="45">
        <f>O71+P71</f>
        <v/>
      </c>
      <c r="R71" s="45">
        <f>IF(OR(B71="PRE",B71="PRO"),Q71*$B$3,0)</f>
        <v/>
      </c>
      <c r="S71" s="45">
        <f>Q71+R71</f>
        <v/>
      </c>
    </row>
    <row r="72">
      <c r="A72">
        <f>Measurement!A69</f>
        <v/>
      </c>
      <c r="B72">
        <f>Measurement!B69</f>
        <v/>
      </c>
      <c r="C72">
        <f>Measurement!C69</f>
        <v/>
      </c>
      <c r="D72" s="43">
        <f>Measurement!D69</f>
        <v/>
      </c>
      <c r="E72" s="43">
        <f>Measurement!J69</f>
        <v/>
      </c>
      <c r="F72" s="43">
        <f>Measurement!E69</f>
        <v/>
      </c>
      <c r="G72" s="67">
        <f>Measurement!F69</f>
        <v/>
      </c>
      <c r="H72" s="67">
        <f>Measurement!I69</f>
        <v/>
      </c>
      <c r="I72" s="32">
        <f>Measurement!G69</f>
        <v/>
      </c>
      <c r="J72" s="42">
        <f>IF(B72="PRE",IF(Parameters!$B$21=0,0,I72/Parameters!$B$21),IF(B72="PRO",IF(Parameters!$C$21=0,0,I72/Parameters!$C$21),IF(Parameters!$D$21=0,0,I72/Parameters!$D$21)))</f>
        <v/>
      </c>
      <c r="K72" s="32">
        <f>Measurement!H69</f>
        <v/>
      </c>
      <c r="L72" s="42">
        <f>IF(B72="PRE",IF(Parameters!$B$22=0,0,K72/Parameters!$B$22),IF(B72="PRO",IF(Parameters!$C$22=0,0,K72/Parameters!$C$22),IF(Parameters!$D$22=0,0,K72/Parameters!$D$22)))</f>
        <v/>
      </c>
      <c r="M72" s="43">
        <f>IF(B72="PRE",J72*Parameters!$B$11,IF(B72="PRO",J72*Parameters!$C$11,J72*Parameters!$E$11))</f>
        <v/>
      </c>
      <c r="N72" s="43">
        <f>IF(B72="PRE",L72*Parameters!$B$12,IF(B72="PRO",L72*Parameters!$C$12,L72*Parameters!$E$12))</f>
        <v/>
      </c>
      <c r="O72" s="45">
        <f>(M72+N72)*Parameters!$B$5</f>
        <v/>
      </c>
      <c r="P72" s="45">
        <f>IF(B72="PRE",L72*Parameters!$B$23,IF(B72="PRO",L72*Parameters!$C$23,IF(Parameters!$D$22=0,J72*Parameters!$D$23,L72*Parameters!$D$23)))</f>
        <v/>
      </c>
      <c r="Q72" s="45">
        <f>O72+P72</f>
        <v/>
      </c>
      <c r="R72" s="45">
        <f>IF(OR(B72="PRE",B72="PRO"),Q72*$B$3,0)</f>
        <v/>
      </c>
      <c r="S72" s="45">
        <f>Q72+R72</f>
        <v/>
      </c>
    </row>
    <row r="73">
      <c r="A73">
        <f>Measurement!A70</f>
        <v/>
      </c>
      <c r="B73">
        <f>Measurement!B70</f>
        <v/>
      </c>
      <c r="C73">
        <f>Measurement!C70</f>
        <v/>
      </c>
      <c r="D73" s="43">
        <f>Measurement!D70</f>
        <v/>
      </c>
      <c r="E73" s="43">
        <f>Measurement!J70</f>
        <v/>
      </c>
      <c r="F73" s="43">
        <f>Measurement!E70</f>
        <v/>
      </c>
      <c r="G73" s="67">
        <f>Measurement!F70</f>
        <v/>
      </c>
      <c r="H73" s="67">
        <f>Measurement!I70</f>
        <v/>
      </c>
      <c r="I73" s="32">
        <f>Measurement!G70</f>
        <v/>
      </c>
      <c r="J73" s="42">
        <f>IF(B73="PRE",IF(Parameters!$B$21=0,0,I73/Parameters!$B$21),IF(B73="PRO",IF(Parameters!$C$21=0,0,I73/Parameters!$C$21),IF(Parameters!$D$21=0,0,I73/Parameters!$D$21)))</f>
        <v/>
      </c>
      <c r="K73" s="32">
        <f>Measurement!H70</f>
        <v/>
      </c>
      <c r="L73" s="42">
        <f>IF(B73="PRE",IF(Parameters!$B$22=0,0,K73/Parameters!$B$22),IF(B73="PRO",IF(Parameters!$C$22=0,0,K73/Parameters!$C$22),IF(Parameters!$D$22=0,0,K73/Parameters!$D$22)))</f>
        <v/>
      </c>
      <c r="M73" s="43">
        <f>IF(B73="PRE",J73*Parameters!$B$11,IF(B73="PRO",J73*Parameters!$C$11,J73*Parameters!$E$11))</f>
        <v/>
      </c>
      <c r="N73" s="43">
        <f>IF(B73="PRE",L73*Parameters!$B$12,IF(B73="PRO",L73*Parameters!$C$12,L73*Parameters!$E$12))</f>
        <v/>
      </c>
      <c r="O73" s="45">
        <f>(M73+N73)*Parameters!$B$5</f>
        <v/>
      </c>
      <c r="P73" s="45">
        <f>IF(B73="PRE",L73*Parameters!$B$23,IF(B73="PRO",L73*Parameters!$C$23,IF(Parameters!$D$22=0,J73*Parameters!$D$23,L73*Parameters!$D$23)))</f>
        <v/>
      </c>
      <c r="Q73" s="45">
        <f>O73+P73</f>
        <v/>
      </c>
      <c r="R73" s="45">
        <f>IF(OR(B73="PRE",B73="PRO"),Q73*$B$3,0)</f>
        <v/>
      </c>
      <c r="S73" s="45">
        <f>Q73+R73</f>
        <v/>
      </c>
    </row>
    <row r="74">
      <c r="A74">
        <f>Measurement!A71</f>
        <v/>
      </c>
      <c r="B74">
        <f>Measurement!B71</f>
        <v/>
      </c>
      <c r="C74">
        <f>Measurement!C71</f>
        <v/>
      </c>
      <c r="D74" s="43">
        <f>Measurement!D71</f>
        <v/>
      </c>
      <c r="E74" s="43">
        <f>Measurement!J71</f>
        <v/>
      </c>
      <c r="F74" s="43">
        <f>Measurement!E71</f>
        <v/>
      </c>
      <c r="G74" s="67">
        <f>Measurement!F71</f>
        <v/>
      </c>
      <c r="H74" s="67">
        <f>Measurement!I71</f>
        <v/>
      </c>
      <c r="I74" s="32">
        <f>Measurement!G71</f>
        <v/>
      </c>
      <c r="J74" s="42">
        <f>IF(B74="PRE",IF(Parameters!$B$21=0,0,I74/Parameters!$B$21),IF(B74="PRO",IF(Parameters!$C$21=0,0,I74/Parameters!$C$21),IF(Parameters!$D$21=0,0,I74/Parameters!$D$21)))</f>
        <v/>
      </c>
      <c r="K74" s="32">
        <f>Measurement!H71</f>
        <v/>
      </c>
      <c r="L74" s="42">
        <f>IF(B74="PRE",IF(Parameters!$B$22=0,0,K74/Parameters!$B$22),IF(B74="PRO",IF(Parameters!$C$22=0,0,K74/Parameters!$C$22),IF(Parameters!$D$22=0,0,K74/Parameters!$D$22)))</f>
        <v/>
      </c>
      <c r="M74" s="43">
        <f>IF(B74="PRE",J74*Parameters!$B$11,IF(B74="PRO",J74*Parameters!$C$11,J74*Parameters!$E$11))</f>
        <v/>
      </c>
      <c r="N74" s="43">
        <f>IF(B74="PRE",L74*Parameters!$B$12,IF(B74="PRO",L74*Parameters!$C$12,L74*Parameters!$E$12))</f>
        <v/>
      </c>
      <c r="O74" s="45">
        <f>(M74+N74)*Parameters!$B$5</f>
        <v/>
      </c>
      <c r="P74" s="45">
        <f>IF(B74="PRE",L74*Parameters!$B$23,IF(B74="PRO",L74*Parameters!$C$23,IF(Parameters!$D$22=0,J74*Parameters!$D$23,L74*Parameters!$D$23)))</f>
        <v/>
      </c>
      <c r="Q74" s="45">
        <f>O74+P74</f>
        <v/>
      </c>
      <c r="R74" s="45">
        <f>IF(OR(B74="PRE",B74="PRO"),Q74*$B$3,0)</f>
        <v/>
      </c>
      <c r="S74" s="45">
        <f>Q74+R74</f>
        <v/>
      </c>
    </row>
    <row r="75">
      <c r="A75">
        <f>Measurement!A72</f>
        <v/>
      </c>
      <c r="B75">
        <f>Measurement!B72</f>
        <v/>
      </c>
      <c r="C75">
        <f>Measurement!C72</f>
        <v/>
      </c>
      <c r="D75" s="43">
        <f>Measurement!D72</f>
        <v/>
      </c>
      <c r="E75" s="43">
        <f>Measurement!J72</f>
        <v/>
      </c>
      <c r="F75" s="43">
        <f>Measurement!E72</f>
        <v/>
      </c>
      <c r="G75" s="67">
        <f>Measurement!F72</f>
        <v/>
      </c>
      <c r="H75" s="67">
        <f>Measurement!I72</f>
        <v/>
      </c>
      <c r="I75" s="32">
        <f>Measurement!G72</f>
        <v/>
      </c>
      <c r="J75" s="42">
        <f>IF(B75="PRE",IF(Parameters!$B$21=0,0,I75/Parameters!$B$21),IF(B75="PRO",IF(Parameters!$C$21=0,0,I75/Parameters!$C$21),IF(Parameters!$D$21=0,0,I75/Parameters!$D$21)))</f>
        <v/>
      </c>
      <c r="K75" s="32">
        <f>Measurement!H72</f>
        <v/>
      </c>
      <c r="L75" s="42">
        <f>IF(B75="PRE",IF(Parameters!$B$22=0,0,K75/Parameters!$B$22),IF(B75="PRO",IF(Parameters!$C$22=0,0,K75/Parameters!$C$22),IF(Parameters!$D$22=0,0,K75/Parameters!$D$22)))</f>
        <v/>
      </c>
      <c r="M75" s="43">
        <f>IF(B75="PRE",J75*Parameters!$B$11,IF(B75="PRO",J75*Parameters!$C$11,J75*Parameters!$E$11))</f>
        <v/>
      </c>
      <c r="N75" s="43">
        <f>IF(B75="PRE",L75*Parameters!$B$12,IF(B75="PRO",L75*Parameters!$C$12,L75*Parameters!$E$12))</f>
        <v/>
      </c>
      <c r="O75" s="45">
        <f>(M75+N75)*Parameters!$B$5</f>
        <v/>
      </c>
      <c r="P75" s="45">
        <f>IF(B75="PRE",L75*Parameters!$B$23,IF(B75="PRO",L75*Parameters!$C$23,IF(Parameters!$D$22=0,J75*Parameters!$D$23,L75*Parameters!$D$23)))</f>
        <v/>
      </c>
      <c r="Q75" s="45">
        <f>O75+P75</f>
        <v/>
      </c>
      <c r="R75" s="45">
        <f>IF(OR(B75="PRE",B75="PRO"),Q75*$B$3,0)</f>
        <v/>
      </c>
      <c r="S75" s="45">
        <f>Q75+R75</f>
        <v/>
      </c>
    </row>
    <row r="76">
      <c r="A76">
        <f>Measurement!A73</f>
        <v/>
      </c>
      <c r="B76">
        <f>Measurement!B73</f>
        <v/>
      </c>
      <c r="C76">
        <f>Measurement!C73</f>
        <v/>
      </c>
      <c r="D76" s="43">
        <f>Measurement!D73</f>
        <v/>
      </c>
      <c r="E76" s="43">
        <f>Measurement!J73</f>
        <v/>
      </c>
      <c r="F76" s="43">
        <f>Measurement!E73</f>
        <v/>
      </c>
      <c r="G76" s="67">
        <f>Measurement!F73</f>
        <v/>
      </c>
      <c r="H76" s="67">
        <f>Measurement!I73</f>
        <v/>
      </c>
      <c r="I76" s="32">
        <f>Measurement!G73</f>
        <v/>
      </c>
      <c r="J76" s="42">
        <f>IF(B76="PRE",IF(Parameters!$B$21=0,0,I76/Parameters!$B$21),IF(B76="PRO",IF(Parameters!$C$21=0,0,I76/Parameters!$C$21),IF(Parameters!$D$21=0,0,I76/Parameters!$D$21)))</f>
        <v/>
      </c>
      <c r="K76" s="32">
        <f>Measurement!H73</f>
        <v/>
      </c>
      <c r="L76" s="42">
        <f>IF(B76="PRE",IF(Parameters!$B$22=0,0,K76/Parameters!$B$22),IF(B76="PRO",IF(Parameters!$C$22=0,0,K76/Parameters!$C$22),IF(Parameters!$D$22=0,0,K76/Parameters!$D$22)))</f>
        <v/>
      </c>
      <c r="M76" s="43">
        <f>IF(B76="PRE",J76*Parameters!$B$11,IF(B76="PRO",J76*Parameters!$C$11,J76*Parameters!$E$11))</f>
        <v/>
      </c>
      <c r="N76" s="43">
        <f>IF(B76="PRE",L76*Parameters!$B$12,IF(B76="PRO",L76*Parameters!$C$12,L76*Parameters!$E$12))</f>
        <v/>
      </c>
      <c r="O76" s="45">
        <f>(M76+N76)*Parameters!$B$5</f>
        <v/>
      </c>
      <c r="P76" s="45">
        <f>IF(B76="PRE",L76*Parameters!$B$23,IF(B76="PRO",L76*Parameters!$C$23,IF(Parameters!$D$22=0,J76*Parameters!$D$23,L76*Parameters!$D$23)))</f>
        <v/>
      </c>
      <c r="Q76" s="45">
        <f>O76+P76</f>
        <v/>
      </c>
      <c r="R76" s="45">
        <f>IF(OR(B76="PRE",B76="PRO"),Q76*$B$3,0)</f>
        <v/>
      </c>
      <c r="S76" s="45">
        <f>Q76+R76</f>
        <v/>
      </c>
    </row>
    <row r="77">
      <c r="A77">
        <f>Measurement!A74</f>
        <v/>
      </c>
      <c r="B77">
        <f>Measurement!B74</f>
        <v/>
      </c>
      <c r="C77">
        <f>Measurement!C74</f>
        <v/>
      </c>
      <c r="D77" s="43">
        <f>Measurement!D74</f>
        <v/>
      </c>
      <c r="E77" s="43">
        <f>Measurement!J74</f>
        <v/>
      </c>
      <c r="F77" s="43">
        <f>Measurement!E74</f>
        <v/>
      </c>
      <c r="G77" s="67">
        <f>Measurement!F74</f>
        <v/>
      </c>
      <c r="H77" s="67">
        <f>Measurement!I74</f>
        <v/>
      </c>
      <c r="I77" s="32">
        <f>Measurement!G74</f>
        <v/>
      </c>
      <c r="J77" s="42">
        <f>IF(B77="PRE",IF(Parameters!$B$21=0,0,I77/Parameters!$B$21),IF(B77="PRO",IF(Parameters!$C$21=0,0,I77/Parameters!$C$21),IF(Parameters!$D$21=0,0,I77/Parameters!$D$21)))</f>
        <v/>
      </c>
      <c r="K77" s="32">
        <f>Measurement!H74</f>
        <v/>
      </c>
      <c r="L77" s="42">
        <f>IF(B77="PRE",IF(Parameters!$B$22=0,0,K77/Parameters!$B$22),IF(B77="PRO",IF(Parameters!$C$22=0,0,K77/Parameters!$C$22),IF(Parameters!$D$22=0,0,K77/Parameters!$D$22)))</f>
        <v/>
      </c>
      <c r="M77" s="43">
        <f>IF(B77="PRE",J77*Parameters!$B$11,IF(B77="PRO",J77*Parameters!$C$11,J77*Parameters!$E$11))</f>
        <v/>
      </c>
      <c r="N77" s="43">
        <f>IF(B77="PRE",L77*Parameters!$B$12,IF(B77="PRO",L77*Parameters!$C$12,L77*Parameters!$E$12))</f>
        <v/>
      </c>
      <c r="O77" s="45">
        <f>(M77+N77)*Parameters!$B$5</f>
        <v/>
      </c>
      <c r="P77" s="45">
        <f>IF(B77="PRE",L77*Parameters!$B$23,IF(B77="PRO",L77*Parameters!$C$23,IF(Parameters!$D$22=0,J77*Parameters!$D$23,L77*Parameters!$D$23)))</f>
        <v/>
      </c>
      <c r="Q77" s="45">
        <f>O77+P77</f>
        <v/>
      </c>
      <c r="R77" s="45">
        <f>IF(OR(B77="PRE",B77="PRO"),Q77*$B$3,0)</f>
        <v/>
      </c>
      <c r="S77" s="45">
        <f>Q77+R77</f>
        <v/>
      </c>
    </row>
    <row r="78">
      <c r="A78">
        <f>Measurement!A75</f>
        <v/>
      </c>
      <c r="B78">
        <f>Measurement!B75</f>
        <v/>
      </c>
      <c r="C78">
        <f>Measurement!C75</f>
        <v/>
      </c>
      <c r="D78" s="43">
        <f>Measurement!D75</f>
        <v/>
      </c>
      <c r="E78" s="43">
        <f>Measurement!J75</f>
        <v/>
      </c>
      <c r="F78" s="43">
        <f>Measurement!E75</f>
        <v/>
      </c>
      <c r="G78" s="67">
        <f>Measurement!F75</f>
        <v/>
      </c>
      <c r="H78" s="67">
        <f>Measurement!I75</f>
        <v/>
      </c>
      <c r="I78" s="32">
        <f>Measurement!G75</f>
        <v/>
      </c>
      <c r="J78" s="42">
        <f>IF(B78="PRE",IF(Parameters!$B$21=0,0,I78/Parameters!$B$21),IF(B78="PRO",IF(Parameters!$C$21=0,0,I78/Parameters!$C$21),IF(Parameters!$D$21=0,0,I78/Parameters!$D$21)))</f>
        <v/>
      </c>
      <c r="K78" s="32">
        <f>Measurement!H75</f>
        <v/>
      </c>
      <c r="L78" s="42">
        <f>IF(B78="PRE",IF(Parameters!$B$22=0,0,K78/Parameters!$B$22),IF(B78="PRO",IF(Parameters!$C$22=0,0,K78/Parameters!$C$22),IF(Parameters!$D$22=0,0,K78/Parameters!$D$22)))</f>
        <v/>
      </c>
      <c r="M78" s="43">
        <f>IF(B78="PRE",J78*Parameters!$B$11,IF(B78="PRO",J78*Parameters!$C$11,J78*Parameters!$E$11))</f>
        <v/>
      </c>
      <c r="N78" s="43">
        <f>IF(B78="PRE",L78*Parameters!$B$12,IF(B78="PRO",L78*Parameters!$C$12,L78*Parameters!$E$12))</f>
        <v/>
      </c>
      <c r="O78" s="45">
        <f>(M78+N78)*Parameters!$B$5</f>
        <v/>
      </c>
      <c r="P78" s="45">
        <f>IF(B78="PRE",L78*Parameters!$B$23,IF(B78="PRO",L78*Parameters!$C$23,IF(Parameters!$D$22=0,J78*Parameters!$D$23,L78*Parameters!$D$23)))</f>
        <v/>
      </c>
      <c r="Q78" s="45">
        <f>O78+P78</f>
        <v/>
      </c>
      <c r="R78" s="45">
        <f>IF(OR(B78="PRE",B78="PRO"),Q78*$B$3,0)</f>
        <v/>
      </c>
      <c r="S78" s="45">
        <f>Q78+R78</f>
        <v/>
      </c>
    </row>
    <row r="79">
      <c r="A79" s="17" t="inlineStr">
        <is>
          <t>Total</t>
        </is>
      </c>
      <c r="B79" s="17" t="n"/>
      <c r="C79" s="17" t="n"/>
      <c r="D79" s="17" t="n"/>
      <c r="E79" s="17" t="n"/>
      <c r="F79" s="17" t="n"/>
      <c r="G79" s="17">
        <f>SUM(G6:G78)</f>
        <v/>
      </c>
      <c r="H79" s="17" t="n"/>
      <c r="I79" s="41">
        <f>SUM(I6:I78)</f>
        <v/>
      </c>
      <c r="J79" s="17" t="n"/>
      <c r="K79" s="41">
        <f>SUM(K6:K78)</f>
        <v/>
      </c>
      <c r="L79" s="17" t="n"/>
      <c r="M79" s="17" t="n"/>
      <c r="N79" s="17" t="n"/>
      <c r="O79" s="46">
        <f>SUM(O6:O78)</f>
        <v/>
      </c>
      <c r="P79" s="46">
        <f>SUM(P6:P78)</f>
        <v/>
      </c>
      <c r="Q79" s="46">
        <f>SUM(Q6:Q78)</f>
        <v/>
      </c>
      <c r="R79" s="46">
        <f>SUM(R6:R78)</f>
        <v/>
      </c>
      <c r="S79" s="46">
        <f>SUM(S6:S78)</f>
        <v/>
      </c>
    </row>
    <row r="80"/>
    <row r="81">
      <c r="A81" s="17" t="inlineStr">
        <is>
          <t>Comprobacion por cluster</t>
        </is>
      </c>
    </row>
    <row r="82">
      <c r="A82" s="17" t="inlineStr">
        <is>
          <t>Entorno</t>
        </is>
      </c>
      <c r="B82" s="17" t="inlineStr">
        <is>
          <t>ECU/mes Elastic de las filas</t>
        </is>
      </c>
      <c r="C82" s="17" t="inlineStr">
        <is>
          <t>ECU/mes a repercutir</t>
        </is>
      </c>
    </row>
    <row r="83">
      <c r="A83" t="inlineStr">
        <is>
          <t>PRE</t>
        </is>
      </c>
      <c r="B83" s="45">
        <f>SUMIF($B$6:$B$78,A83,$Q$6:$Q$78)</f>
        <v/>
      </c>
      <c r="C83" s="45">
        <f>SUMIF($B$6:$B$78,A83,$S$6:$S$78)</f>
        <v/>
      </c>
    </row>
    <row r="84">
      <c r="A84" t="inlineStr">
        <is>
          <t>PRO</t>
        </is>
      </c>
      <c r="B84" s="45">
        <f>SUMIF($B$6:$B$78,A84,$Q$6:$Q$78)</f>
        <v/>
      </c>
      <c r="C84" s="45">
        <f>SUMIF($B$6:$B$78,A84,$S$6:$S$78)</f>
        <v/>
      </c>
    </row>
    <row r="85">
      <c r="A85" t="inlineStr">
        <is>
          <t>MON</t>
        </is>
      </c>
      <c r="B85" s="45">
        <f>SUMIF($B$6:$B$78,A85,$Q$6:$Q$78)</f>
        <v/>
      </c>
      <c r="C85" s="45">
        <f>SUMIF($B$6:$B$78,A85,$S$6:$S$78)</f>
        <v/>
      </c>
    </row>
    <row r="86"/>
    <row r="87">
      <c r="A87" s="17" t="inlineStr">
        <is>
          <t>ECU/aÃ±o a repercutir</t>
        </is>
      </c>
      <c r="B87" s="46">
        <f>S79*12</f>
        <v/>
      </c>
    </row>
    <row r="88">
      <c r="A88" s="17" t="inlineStr">
        <is>
          <t>Commit anual</t>
        </is>
      </c>
      <c r="B88" s="46">
        <f>Parameters!B42</f>
        <v/>
      </c>
    </row>
    <row r="89">
      <c r="A89" s="17" t="inlineStr">
        <is>
          <t>Diferencia frente al commit</t>
        </is>
      </c>
      <c r="B89" s="46">
        <f>B87-B88</f>
        <v/>
      </c>
    </row>
    <row r="90">
      <c r="A90" s="17" t="inlineStr">
        <is>
          <t>Resultado</t>
        </is>
      </c>
      <c r="B90" s="17">
        <f>IF(B89&gt;0,"Por encima del commit","Por debajo del commit")</f>
        <v/>
      </c>
    </row>
  </sheetData>
  <mergeCells count="1">
    <mergeCell ref="A2:N2"/>
  </mergeCells>
  <pageMargins left="0.7" right="0.7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90"/>
  <sheetViews>
    <sheetView workbookViewId="0">
      <selection activeCell="A1" sqref="A1"/>
    </sheetView>
  </sheetViews>
  <sheetFormatPr baseColWidth="10" defaultRowHeight="15"/>
  <cols>
    <col width="55.7109375" customWidth="1" style="58" min="1" max="1"/>
    <col width="12.7109375" customWidth="1" style="58" min="2" max="2"/>
    <col width="55.7109375" customWidth="1" style="58" min="3" max="3"/>
    <col width="14.7109375" customWidth="1" style="58" min="4" max="19"/>
  </cols>
  <sheetData>
    <row r="1" ht="21" customHeight="1" s="58">
      <c r="A1" s="1" t="inlineStr">
        <is>
          <t>Reparto con coste de administracion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</row>
    <row r="2" ht="36" customHeight="1" s="58">
      <c r="A2" s="61" t="inlineStr">
        <is>
          <t>Cada fila es una familia medida el sample snapshot date. ECU/mes = cuota hot x ECU/h hot x horas + cuota frozen x (ECU/h frozen x horas + snapshots). Monitoring no tiene frozen: sus snapshots van por cuota hot. El recargo solo entra en PRE y PRO.</t>
        </is>
      </c>
    </row>
    <row r="3">
      <c r="A3" s="60" t="inlineStr">
        <is>
          <t>Recargo aplicado</t>
        </is>
      </c>
      <c r="B3" s="21">
        <f>Parameters!B6</f>
        <v/>
      </c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</row>
    <row r="4">
      <c r="A4" s="60" t="n"/>
      <c r="B4" s="60" t="n"/>
      <c r="C4" s="60" t="n"/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</row>
    <row r="5" ht="36" customHeight="1" s="58">
      <c r="A5" s="22" t="inlineStr">
        <is>
          <t>Familia</t>
        </is>
      </c>
      <c r="B5" s="22" t="inlineStr">
        <is>
          <t>Entorno</t>
        </is>
      </c>
      <c r="C5" s="22" t="inlineStr">
        <is>
          <t>Que es</t>
        </is>
      </c>
      <c r="D5" s="22" t="inlineStr">
        <is>
          <t>Eventos/s 15 min</t>
        </is>
      </c>
      <c r="E5" s="22" t="inlineStr">
        <is>
          <t>Eventos/s media de vida</t>
        </is>
      </c>
      <c r="F5" s="22" t="inlineStr">
        <is>
          <t>KB/doc</t>
        </is>
      </c>
      <c r="G5" s="22" t="inlineStr">
        <is>
          <t>Documentos</t>
        </is>
      </c>
      <c r="H5" s="22" t="inlineStr">
        <is>
          <t>Indices</t>
        </is>
      </c>
      <c r="I5" s="22" t="inlineStr">
        <is>
          <t>GB hot</t>
        </is>
      </c>
      <c r="J5" s="22" t="inlineStr">
        <is>
          <t>Cuota hot</t>
        </is>
      </c>
      <c r="K5" s="22" t="inlineStr">
        <is>
          <t>GB frozen</t>
        </is>
      </c>
      <c r="L5" s="22" t="inlineStr">
        <is>
          <t>Cuota frozen</t>
        </is>
      </c>
      <c r="M5" s="22" t="inlineStr">
        <is>
          <t>ECU/h hot</t>
        </is>
      </c>
      <c r="N5" s="22" t="inlineStr">
        <is>
          <t>ECU/h frozen</t>
        </is>
      </c>
      <c r="O5" s="22" t="inlineStr">
        <is>
          <t>ECU/mes capacidad</t>
        </is>
      </c>
      <c r="P5" s="22" t="inlineStr">
        <is>
          <t>ECU/mes snapshots</t>
        </is>
      </c>
      <c r="Q5" s="22" t="inlineStr">
        <is>
          <t>ECU/mes Elastic</t>
        </is>
      </c>
      <c r="R5" s="22" t="inlineStr">
        <is>
          <t>ECU/mes recargo</t>
        </is>
      </c>
      <c r="S5" s="22" t="inlineStr">
        <is>
          <t>ECU/mes a repercutir</t>
        </is>
      </c>
    </row>
    <row r="6">
      <c r="A6">
        <f>Measurement!A3</f>
        <v/>
      </c>
      <c r="B6">
        <f>Measurement!B3</f>
        <v/>
      </c>
      <c r="C6">
        <f>Measurement!C3</f>
        <v/>
      </c>
      <c r="D6" s="43">
        <f>Measurement!D3</f>
        <v/>
      </c>
      <c r="E6" s="43">
        <f>Measurement!J3</f>
        <v/>
      </c>
      <c r="F6" s="43">
        <f>Measurement!E3</f>
        <v/>
      </c>
      <c r="G6" s="67">
        <f>Measurement!F3</f>
        <v/>
      </c>
      <c r="H6" s="67">
        <f>Measurement!I3</f>
        <v/>
      </c>
      <c r="I6" s="32">
        <f>Measurement!G3</f>
        <v/>
      </c>
      <c r="J6" s="42">
        <f>IF(B6="PRE",IF(Parameters!$B$21=0,0,I6/Parameters!$B$21),IF(B6="PRO",IF(Parameters!$C$21=0,0,I6/Parameters!$C$21),IF(Parameters!$D$21=0,0,I6/Parameters!$D$21)))</f>
        <v/>
      </c>
      <c r="K6" s="32">
        <f>Measurement!H3</f>
        <v/>
      </c>
      <c r="L6" s="42">
        <f>IF(B6="PRE",IF(Parameters!$B$22=0,0,K6/Parameters!$B$22),IF(B6="PRO",IF(Parameters!$C$22=0,0,K6/Parameters!$C$22),IF(Parameters!$D$22=0,0,K6/Parameters!$D$22)))</f>
        <v/>
      </c>
      <c r="M6" s="43">
        <f>IF(B6="PRE",J6*Parameters!$B$11,IF(B6="PRO",J6*Parameters!$C$11,J6*Parameters!$E$11))</f>
        <v/>
      </c>
      <c r="N6" s="43">
        <f>IF(B6="PRE",L6*Parameters!$B$12,IF(B6="PRO",L6*Parameters!$C$12,L6*Parameters!$E$12))</f>
        <v/>
      </c>
      <c r="O6" s="45">
        <f>(M6+N6)*Parameters!$B$5</f>
        <v/>
      </c>
      <c r="P6" s="45">
        <f>IF(B6="PRE",L6*Parameters!$B$23,IF(B6="PRO",L6*Parameters!$C$23,IF(Parameters!$D$22=0,J6*Parameters!$D$23,L6*Parameters!$D$23)))</f>
        <v/>
      </c>
      <c r="Q6" s="45">
        <f>O6+P6</f>
        <v/>
      </c>
      <c r="R6" s="45">
        <f>IF(OR(B6="PRE",B6="PRO"),Q6*$B$3,0)</f>
        <v/>
      </c>
      <c r="S6" s="45">
        <f>Q6+R6</f>
        <v/>
      </c>
    </row>
    <row r="7">
      <c r="A7">
        <f>Measurement!A4</f>
        <v/>
      </c>
      <c r="B7">
        <f>Measurement!B4</f>
        <v/>
      </c>
      <c r="C7">
        <f>Measurement!C4</f>
        <v/>
      </c>
      <c r="D7" s="43">
        <f>Measurement!D4</f>
        <v/>
      </c>
      <c r="E7" s="43">
        <f>Measurement!J4</f>
        <v/>
      </c>
      <c r="F7" s="43">
        <f>Measurement!E4</f>
        <v/>
      </c>
      <c r="G7" s="67">
        <f>Measurement!F4</f>
        <v/>
      </c>
      <c r="H7" s="67">
        <f>Measurement!I4</f>
        <v/>
      </c>
      <c r="I7" s="32">
        <f>Measurement!G4</f>
        <v/>
      </c>
      <c r="J7" s="42">
        <f>IF(B7="PRE",IF(Parameters!$B$21=0,0,I7/Parameters!$B$21),IF(B7="PRO",IF(Parameters!$C$21=0,0,I7/Parameters!$C$21),IF(Parameters!$D$21=0,0,I7/Parameters!$D$21)))</f>
        <v/>
      </c>
      <c r="K7" s="32">
        <f>Measurement!H4</f>
        <v/>
      </c>
      <c r="L7" s="42">
        <f>IF(B7="PRE",IF(Parameters!$B$22=0,0,K7/Parameters!$B$22),IF(B7="PRO",IF(Parameters!$C$22=0,0,K7/Parameters!$C$22),IF(Parameters!$D$22=0,0,K7/Parameters!$D$22)))</f>
        <v/>
      </c>
      <c r="M7" s="43">
        <f>IF(B7="PRE",J7*Parameters!$B$11,IF(B7="PRO",J7*Parameters!$C$11,J7*Parameters!$E$11))</f>
        <v/>
      </c>
      <c r="N7" s="43">
        <f>IF(B7="PRE",L7*Parameters!$B$12,IF(B7="PRO",L7*Parameters!$C$12,L7*Parameters!$E$12))</f>
        <v/>
      </c>
      <c r="O7" s="45">
        <f>(M7+N7)*Parameters!$B$5</f>
        <v/>
      </c>
      <c r="P7" s="45">
        <f>IF(B7="PRE",L7*Parameters!$B$23,IF(B7="PRO",L7*Parameters!$C$23,IF(Parameters!$D$22=0,J7*Parameters!$D$23,L7*Parameters!$D$23)))</f>
        <v/>
      </c>
      <c r="Q7" s="45">
        <f>O7+P7</f>
        <v/>
      </c>
      <c r="R7" s="45">
        <f>IF(OR(B7="PRE",B7="PRO"),Q7*$B$3,0)</f>
        <v/>
      </c>
      <c r="S7" s="45">
        <f>Q7+R7</f>
        <v/>
      </c>
    </row>
    <row r="8">
      <c r="A8">
        <f>Measurement!A5</f>
        <v/>
      </c>
      <c r="B8">
        <f>Measurement!B5</f>
        <v/>
      </c>
      <c r="C8">
        <f>Measurement!C5</f>
        <v/>
      </c>
      <c r="D8" s="43">
        <f>Measurement!D5</f>
        <v/>
      </c>
      <c r="E8" s="43">
        <f>Measurement!J5</f>
        <v/>
      </c>
      <c r="F8" s="43">
        <f>Measurement!E5</f>
        <v/>
      </c>
      <c r="G8" s="67">
        <f>Measurement!F5</f>
        <v/>
      </c>
      <c r="H8" s="67">
        <f>Measurement!I5</f>
        <v/>
      </c>
      <c r="I8" s="32">
        <f>Measurement!G5</f>
        <v/>
      </c>
      <c r="J8" s="42">
        <f>IF(B8="PRE",IF(Parameters!$B$21=0,0,I8/Parameters!$B$21),IF(B8="PRO",IF(Parameters!$C$21=0,0,I8/Parameters!$C$21),IF(Parameters!$D$21=0,0,I8/Parameters!$D$21)))</f>
        <v/>
      </c>
      <c r="K8" s="32">
        <f>Measurement!H5</f>
        <v/>
      </c>
      <c r="L8" s="42">
        <f>IF(B8="PRE",IF(Parameters!$B$22=0,0,K8/Parameters!$B$22),IF(B8="PRO",IF(Parameters!$C$22=0,0,K8/Parameters!$C$22),IF(Parameters!$D$22=0,0,K8/Parameters!$D$22)))</f>
        <v/>
      </c>
      <c r="M8" s="43">
        <f>IF(B8="PRE",J8*Parameters!$B$11,IF(B8="PRO",J8*Parameters!$C$11,J8*Parameters!$E$11))</f>
        <v/>
      </c>
      <c r="N8" s="43">
        <f>IF(B8="PRE",L8*Parameters!$B$12,IF(B8="PRO",L8*Parameters!$C$12,L8*Parameters!$E$12))</f>
        <v/>
      </c>
      <c r="O8" s="45">
        <f>(M8+N8)*Parameters!$B$5</f>
        <v/>
      </c>
      <c r="P8" s="45">
        <f>IF(B8="PRE",L8*Parameters!$B$23,IF(B8="PRO",L8*Parameters!$C$23,IF(Parameters!$D$22=0,J8*Parameters!$D$23,L8*Parameters!$D$23)))</f>
        <v/>
      </c>
      <c r="Q8" s="45">
        <f>O8+P8</f>
        <v/>
      </c>
      <c r="R8" s="45">
        <f>IF(OR(B8="PRE",B8="PRO"),Q8*$B$3,0)</f>
        <v/>
      </c>
      <c r="S8" s="45">
        <f>Q8+R8</f>
        <v/>
      </c>
    </row>
    <row r="9">
      <c r="A9">
        <f>Measurement!A6</f>
        <v/>
      </c>
      <c r="B9">
        <f>Measurement!B6</f>
        <v/>
      </c>
      <c r="C9">
        <f>Measurement!C6</f>
        <v/>
      </c>
      <c r="D9" s="43">
        <f>Measurement!D6</f>
        <v/>
      </c>
      <c r="E9" s="43">
        <f>Measurement!J6</f>
        <v/>
      </c>
      <c r="F9" s="43">
        <f>Measurement!E6</f>
        <v/>
      </c>
      <c r="G9" s="67">
        <f>Measurement!F6</f>
        <v/>
      </c>
      <c r="H9" s="67">
        <f>Measurement!I6</f>
        <v/>
      </c>
      <c r="I9" s="32">
        <f>Measurement!G6</f>
        <v/>
      </c>
      <c r="J9" s="42">
        <f>IF(B9="PRE",IF(Parameters!$B$21=0,0,I9/Parameters!$B$21),IF(B9="PRO",IF(Parameters!$C$21=0,0,I9/Parameters!$C$21),IF(Parameters!$D$21=0,0,I9/Parameters!$D$21)))</f>
        <v/>
      </c>
      <c r="K9" s="32">
        <f>Measurement!H6</f>
        <v/>
      </c>
      <c r="L9" s="42">
        <f>IF(B9="PRE",IF(Parameters!$B$22=0,0,K9/Parameters!$B$22),IF(B9="PRO",IF(Parameters!$C$22=0,0,K9/Parameters!$C$22),IF(Parameters!$D$22=0,0,K9/Parameters!$D$22)))</f>
        <v/>
      </c>
      <c r="M9" s="43">
        <f>IF(B9="PRE",J9*Parameters!$B$11,IF(B9="PRO",J9*Parameters!$C$11,J9*Parameters!$E$11))</f>
        <v/>
      </c>
      <c r="N9" s="43">
        <f>IF(B9="PRE",L9*Parameters!$B$12,IF(B9="PRO",L9*Parameters!$C$12,L9*Parameters!$E$12))</f>
        <v/>
      </c>
      <c r="O9" s="45">
        <f>(M9+N9)*Parameters!$B$5</f>
        <v/>
      </c>
      <c r="P9" s="45">
        <f>IF(B9="PRE",L9*Parameters!$B$23,IF(B9="PRO",L9*Parameters!$C$23,IF(Parameters!$D$22=0,J9*Parameters!$D$23,L9*Parameters!$D$23)))</f>
        <v/>
      </c>
      <c r="Q9" s="45">
        <f>O9+P9</f>
        <v/>
      </c>
      <c r="R9" s="45">
        <f>IF(OR(B9="PRE",B9="PRO"),Q9*$B$3,0)</f>
        <v/>
      </c>
      <c r="S9" s="45">
        <f>Q9+R9</f>
        <v/>
      </c>
    </row>
    <row r="10">
      <c r="A10">
        <f>Measurement!A7</f>
        <v/>
      </c>
      <c r="B10">
        <f>Measurement!B7</f>
        <v/>
      </c>
      <c r="C10">
        <f>Measurement!C7</f>
        <v/>
      </c>
      <c r="D10" s="43">
        <f>Measurement!D7</f>
        <v/>
      </c>
      <c r="E10" s="43">
        <f>Measurement!J7</f>
        <v/>
      </c>
      <c r="F10" s="43">
        <f>Measurement!E7</f>
        <v/>
      </c>
      <c r="G10" s="67">
        <f>Measurement!F7</f>
        <v/>
      </c>
      <c r="H10" s="67">
        <f>Measurement!I7</f>
        <v/>
      </c>
      <c r="I10" s="32">
        <f>Measurement!G7</f>
        <v/>
      </c>
      <c r="J10" s="42">
        <f>IF(B10="PRE",IF(Parameters!$B$21=0,0,I10/Parameters!$B$21),IF(B10="PRO",IF(Parameters!$C$21=0,0,I10/Parameters!$C$21),IF(Parameters!$D$21=0,0,I10/Parameters!$D$21)))</f>
        <v/>
      </c>
      <c r="K10" s="32">
        <f>Measurement!H7</f>
        <v/>
      </c>
      <c r="L10" s="42">
        <f>IF(B10="PRE",IF(Parameters!$B$22=0,0,K10/Parameters!$B$22),IF(B10="PRO",IF(Parameters!$C$22=0,0,K10/Parameters!$C$22),IF(Parameters!$D$22=0,0,K10/Parameters!$D$22)))</f>
        <v/>
      </c>
      <c r="M10" s="43">
        <f>IF(B10="PRE",J10*Parameters!$B$11,IF(B10="PRO",J10*Parameters!$C$11,J10*Parameters!$E$11))</f>
        <v/>
      </c>
      <c r="N10" s="43">
        <f>IF(B10="PRE",L10*Parameters!$B$12,IF(B10="PRO",L10*Parameters!$C$12,L10*Parameters!$E$12))</f>
        <v/>
      </c>
      <c r="O10" s="45">
        <f>(M10+N10)*Parameters!$B$5</f>
        <v/>
      </c>
      <c r="P10" s="45">
        <f>IF(B10="PRE",L10*Parameters!$B$23,IF(B10="PRO",L10*Parameters!$C$23,IF(Parameters!$D$22=0,J10*Parameters!$D$23,L10*Parameters!$D$23)))</f>
        <v/>
      </c>
      <c r="Q10" s="45">
        <f>O10+P10</f>
        <v/>
      </c>
      <c r="R10" s="45">
        <f>IF(OR(B10="PRE",B10="PRO"),Q10*$B$3,0)</f>
        <v/>
      </c>
      <c r="S10" s="45">
        <f>Q10+R10</f>
        <v/>
      </c>
    </row>
    <row r="11">
      <c r="A11">
        <f>Measurement!A8</f>
        <v/>
      </c>
      <c r="B11">
        <f>Measurement!B8</f>
        <v/>
      </c>
      <c r="C11">
        <f>Measurement!C8</f>
        <v/>
      </c>
      <c r="D11" s="43">
        <f>Measurement!D8</f>
        <v/>
      </c>
      <c r="E11" s="43">
        <f>Measurement!J8</f>
        <v/>
      </c>
      <c r="F11" s="43">
        <f>Measurement!E8</f>
        <v/>
      </c>
      <c r="G11" s="67">
        <f>Measurement!F8</f>
        <v/>
      </c>
      <c r="H11" s="67">
        <f>Measurement!I8</f>
        <v/>
      </c>
      <c r="I11" s="32">
        <f>Measurement!G8</f>
        <v/>
      </c>
      <c r="J11" s="42">
        <f>IF(B11="PRE",IF(Parameters!$B$21=0,0,I11/Parameters!$B$21),IF(B11="PRO",IF(Parameters!$C$21=0,0,I11/Parameters!$C$21),IF(Parameters!$D$21=0,0,I11/Parameters!$D$21)))</f>
        <v/>
      </c>
      <c r="K11" s="32">
        <f>Measurement!H8</f>
        <v/>
      </c>
      <c r="L11" s="42">
        <f>IF(B11="PRE",IF(Parameters!$B$22=0,0,K11/Parameters!$B$22),IF(B11="PRO",IF(Parameters!$C$22=0,0,K11/Parameters!$C$22),IF(Parameters!$D$22=0,0,K11/Parameters!$D$22)))</f>
        <v/>
      </c>
      <c r="M11" s="43">
        <f>IF(B11="PRE",J11*Parameters!$B$11,IF(B11="PRO",J11*Parameters!$C$11,J11*Parameters!$E$11))</f>
        <v/>
      </c>
      <c r="N11" s="43">
        <f>IF(B11="PRE",L11*Parameters!$B$12,IF(B11="PRO",L11*Parameters!$C$12,L11*Parameters!$E$12))</f>
        <v/>
      </c>
      <c r="O11" s="45">
        <f>(M11+N11)*Parameters!$B$5</f>
        <v/>
      </c>
      <c r="P11" s="45">
        <f>IF(B11="PRE",L11*Parameters!$B$23,IF(B11="PRO",L11*Parameters!$C$23,IF(Parameters!$D$22=0,J11*Parameters!$D$23,L11*Parameters!$D$23)))</f>
        <v/>
      </c>
      <c r="Q11" s="45">
        <f>O11+P11</f>
        <v/>
      </c>
      <c r="R11" s="45">
        <f>IF(OR(B11="PRE",B11="PRO"),Q11*$B$3,0)</f>
        <v/>
      </c>
      <c r="S11" s="45">
        <f>Q11+R11</f>
        <v/>
      </c>
    </row>
    <row r="12">
      <c r="A12">
        <f>Measurement!A9</f>
        <v/>
      </c>
      <c r="B12">
        <f>Measurement!B9</f>
        <v/>
      </c>
      <c r="C12">
        <f>Measurement!C9</f>
        <v/>
      </c>
      <c r="D12" s="43">
        <f>Measurement!D9</f>
        <v/>
      </c>
      <c r="E12" s="43">
        <f>Measurement!J9</f>
        <v/>
      </c>
      <c r="F12" s="43">
        <f>Measurement!E9</f>
        <v/>
      </c>
      <c r="G12" s="67">
        <f>Measurement!F9</f>
        <v/>
      </c>
      <c r="H12" s="67">
        <f>Measurement!I9</f>
        <v/>
      </c>
      <c r="I12" s="32">
        <f>Measurement!G9</f>
        <v/>
      </c>
      <c r="J12" s="42">
        <f>IF(B12="PRE",IF(Parameters!$B$21=0,0,I12/Parameters!$B$21),IF(B12="PRO",IF(Parameters!$C$21=0,0,I12/Parameters!$C$21),IF(Parameters!$D$21=0,0,I12/Parameters!$D$21)))</f>
        <v/>
      </c>
      <c r="K12" s="32">
        <f>Measurement!H9</f>
        <v/>
      </c>
      <c r="L12" s="42">
        <f>IF(B12="PRE",IF(Parameters!$B$22=0,0,K12/Parameters!$B$22),IF(B12="PRO",IF(Parameters!$C$22=0,0,K12/Parameters!$C$22),IF(Parameters!$D$22=0,0,K12/Parameters!$D$22)))</f>
        <v/>
      </c>
      <c r="M12" s="43">
        <f>IF(B12="PRE",J12*Parameters!$B$11,IF(B12="PRO",J12*Parameters!$C$11,J12*Parameters!$E$11))</f>
        <v/>
      </c>
      <c r="N12" s="43">
        <f>IF(B12="PRE",L12*Parameters!$B$12,IF(B12="PRO",L12*Parameters!$C$12,L12*Parameters!$E$12))</f>
        <v/>
      </c>
      <c r="O12" s="45">
        <f>(M12+N12)*Parameters!$B$5</f>
        <v/>
      </c>
      <c r="P12" s="45">
        <f>IF(B12="PRE",L12*Parameters!$B$23,IF(B12="PRO",L12*Parameters!$C$23,IF(Parameters!$D$22=0,J12*Parameters!$D$23,L12*Parameters!$D$23)))</f>
        <v/>
      </c>
      <c r="Q12" s="45">
        <f>O12+P12</f>
        <v/>
      </c>
      <c r="R12" s="45">
        <f>IF(OR(B12="PRE",B12="PRO"),Q12*$B$3,0)</f>
        <v/>
      </c>
      <c r="S12" s="45">
        <f>Q12+R12</f>
        <v/>
      </c>
    </row>
    <row r="13">
      <c r="A13">
        <f>Measurement!A10</f>
        <v/>
      </c>
      <c r="B13">
        <f>Measurement!B10</f>
        <v/>
      </c>
      <c r="C13">
        <f>Measurement!C10</f>
        <v/>
      </c>
      <c r="D13" s="43">
        <f>Measurement!D10</f>
        <v/>
      </c>
      <c r="E13" s="43">
        <f>Measurement!J10</f>
        <v/>
      </c>
      <c r="F13" s="43">
        <f>Measurement!E10</f>
        <v/>
      </c>
      <c r="G13" s="67">
        <f>Measurement!F10</f>
        <v/>
      </c>
      <c r="H13" s="67">
        <f>Measurement!I10</f>
        <v/>
      </c>
      <c r="I13" s="32">
        <f>Measurement!G10</f>
        <v/>
      </c>
      <c r="J13" s="42">
        <f>IF(B13="PRE",IF(Parameters!$B$21=0,0,I13/Parameters!$B$21),IF(B13="PRO",IF(Parameters!$C$21=0,0,I13/Parameters!$C$21),IF(Parameters!$D$21=0,0,I13/Parameters!$D$21)))</f>
        <v/>
      </c>
      <c r="K13" s="32">
        <f>Measurement!H10</f>
        <v/>
      </c>
      <c r="L13" s="42">
        <f>IF(B13="PRE",IF(Parameters!$B$22=0,0,K13/Parameters!$B$22),IF(B13="PRO",IF(Parameters!$C$22=0,0,K13/Parameters!$C$22),IF(Parameters!$D$22=0,0,K13/Parameters!$D$22)))</f>
        <v/>
      </c>
      <c r="M13" s="43">
        <f>IF(B13="PRE",J13*Parameters!$B$11,IF(B13="PRO",J13*Parameters!$C$11,J13*Parameters!$E$11))</f>
        <v/>
      </c>
      <c r="N13" s="43">
        <f>IF(B13="PRE",L13*Parameters!$B$12,IF(B13="PRO",L13*Parameters!$C$12,L13*Parameters!$E$12))</f>
        <v/>
      </c>
      <c r="O13" s="45">
        <f>(M13+N13)*Parameters!$B$5</f>
        <v/>
      </c>
      <c r="P13" s="45">
        <f>IF(B13="PRE",L13*Parameters!$B$23,IF(B13="PRO",L13*Parameters!$C$23,IF(Parameters!$D$22=0,J13*Parameters!$D$23,L13*Parameters!$D$23)))</f>
        <v/>
      </c>
      <c r="Q13" s="45">
        <f>O13+P13</f>
        <v/>
      </c>
      <c r="R13" s="45">
        <f>IF(OR(B13="PRE",B13="PRO"),Q13*$B$3,0)</f>
        <v/>
      </c>
      <c r="S13" s="45">
        <f>Q13+R13</f>
        <v/>
      </c>
    </row>
    <row r="14">
      <c r="A14">
        <f>Measurement!A11</f>
        <v/>
      </c>
      <c r="B14">
        <f>Measurement!B11</f>
        <v/>
      </c>
      <c r="C14">
        <f>Measurement!C11</f>
        <v/>
      </c>
      <c r="D14" s="43">
        <f>Measurement!D11</f>
        <v/>
      </c>
      <c r="E14" s="43">
        <f>Measurement!J11</f>
        <v/>
      </c>
      <c r="F14" s="43">
        <f>Measurement!E11</f>
        <v/>
      </c>
      <c r="G14" s="67">
        <f>Measurement!F11</f>
        <v/>
      </c>
      <c r="H14" s="67">
        <f>Measurement!I11</f>
        <v/>
      </c>
      <c r="I14" s="32">
        <f>Measurement!G11</f>
        <v/>
      </c>
      <c r="J14" s="42">
        <f>IF(B14="PRE",IF(Parameters!$B$21=0,0,I14/Parameters!$B$21),IF(B14="PRO",IF(Parameters!$C$21=0,0,I14/Parameters!$C$21),IF(Parameters!$D$21=0,0,I14/Parameters!$D$21)))</f>
        <v/>
      </c>
      <c r="K14" s="32">
        <f>Measurement!H11</f>
        <v/>
      </c>
      <c r="L14" s="42">
        <f>IF(B14="PRE",IF(Parameters!$B$22=0,0,K14/Parameters!$B$22),IF(B14="PRO",IF(Parameters!$C$22=0,0,K14/Parameters!$C$22),IF(Parameters!$D$22=0,0,K14/Parameters!$D$22)))</f>
        <v/>
      </c>
      <c r="M14" s="43">
        <f>IF(B14="PRE",J14*Parameters!$B$11,IF(B14="PRO",J14*Parameters!$C$11,J14*Parameters!$E$11))</f>
        <v/>
      </c>
      <c r="N14" s="43">
        <f>IF(B14="PRE",L14*Parameters!$B$12,IF(B14="PRO",L14*Parameters!$C$12,L14*Parameters!$E$12))</f>
        <v/>
      </c>
      <c r="O14" s="45">
        <f>(M14+N14)*Parameters!$B$5</f>
        <v/>
      </c>
      <c r="P14" s="45">
        <f>IF(B14="PRE",L14*Parameters!$B$23,IF(B14="PRO",L14*Parameters!$C$23,IF(Parameters!$D$22=0,J14*Parameters!$D$23,L14*Parameters!$D$23)))</f>
        <v/>
      </c>
      <c r="Q14" s="45">
        <f>O14+P14</f>
        <v/>
      </c>
      <c r="R14" s="45">
        <f>IF(OR(B14="PRE",B14="PRO"),Q14*$B$3,0)</f>
        <v/>
      </c>
      <c r="S14" s="45">
        <f>Q14+R14</f>
        <v/>
      </c>
    </row>
    <row r="15">
      <c r="A15">
        <f>Measurement!A12</f>
        <v/>
      </c>
      <c r="B15">
        <f>Measurement!B12</f>
        <v/>
      </c>
      <c r="C15">
        <f>Measurement!C12</f>
        <v/>
      </c>
      <c r="D15" s="43">
        <f>Measurement!D12</f>
        <v/>
      </c>
      <c r="E15" s="43">
        <f>Measurement!J12</f>
        <v/>
      </c>
      <c r="F15" s="43">
        <f>Measurement!E12</f>
        <v/>
      </c>
      <c r="G15" s="67">
        <f>Measurement!F12</f>
        <v/>
      </c>
      <c r="H15" s="67">
        <f>Measurement!I12</f>
        <v/>
      </c>
      <c r="I15" s="32">
        <f>Measurement!G12</f>
        <v/>
      </c>
      <c r="J15" s="42">
        <f>IF(B15="PRE",IF(Parameters!$B$21=0,0,I15/Parameters!$B$21),IF(B15="PRO",IF(Parameters!$C$21=0,0,I15/Parameters!$C$21),IF(Parameters!$D$21=0,0,I15/Parameters!$D$21)))</f>
        <v/>
      </c>
      <c r="K15" s="32">
        <f>Measurement!H12</f>
        <v/>
      </c>
      <c r="L15" s="42">
        <f>IF(B15="PRE",IF(Parameters!$B$22=0,0,K15/Parameters!$B$22),IF(B15="PRO",IF(Parameters!$C$22=0,0,K15/Parameters!$C$22),IF(Parameters!$D$22=0,0,K15/Parameters!$D$22)))</f>
        <v/>
      </c>
      <c r="M15" s="43">
        <f>IF(B15="PRE",J15*Parameters!$B$11,IF(B15="PRO",J15*Parameters!$C$11,J15*Parameters!$E$11))</f>
        <v/>
      </c>
      <c r="N15" s="43">
        <f>IF(B15="PRE",L15*Parameters!$B$12,IF(B15="PRO",L15*Parameters!$C$12,L15*Parameters!$E$12))</f>
        <v/>
      </c>
      <c r="O15" s="45">
        <f>(M15+N15)*Parameters!$B$5</f>
        <v/>
      </c>
      <c r="P15" s="45">
        <f>IF(B15="PRE",L15*Parameters!$B$23,IF(B15="PRO",L15*Parameters!$C$23,IF(Parameters!$D$22=0,J15*Parameters!$D$23,L15*Parameters!$D$23)))</f>
        <v/>
      </c>
      <c r="Q15" s="45">
        <f>O15+P15</f>
        <v/>
      </c>
      <c r="R15" s="45">
        <f>IF(OR(B15="PRE",B15="PRO"),Q15*$B$3,0)</f>
        <v/>
      </c>
      <c r="S15" s="45">
        <f>Q15+R15</f>
        <v/>
      </c>
    </row>
    <row r="16">
      <c r="A16">
        <f>Measurement!A13</f>
        <v/>
      </c>
      <c r="B16">
        <f>Measurement!B13</f>
        <v/>
      </c>
      <c r="C16">
        <f>Measurement!C13</f>
        <v/>
      </c>
      <c r="D16" s="43">
        <f>Measurement!D13</f>
        <v/>
      </c>
      <c r="E16" s="43">
        <f>Measurement!J13</f>
        <v/>
      </c>
      <c r="F16" s="43">
        <f>Measurement!E13</f>
        <v/>
      </c>
      <c r="G16" s="67">
        <f>Measurement!F13</f>
        <v/>
      </c>
      <c r="H16" s="67">
        <f>Measurement!I13</f>
        <v/>
      </c>
      <c r="I16" s="32">
        <f>Measurement!G13</f>
        <v/>
      </c>
      <c r="J16" s="42">
        <f>IF(B16="PRE",IF(Parameters!$B$21=0,0,I16/Parameters!$B$21),IF(B16="PRO",IF(Parameters!$C$21=0,0,I16/Parameters!$C$21),IF(Parameters!$D$21=0,0,I16/Parameters!$D$21)))</f>
        <v/>
      </c>
      <c r="K16" s="32">
        <f>Measurement!H13</f>
        <v/>
      </c>
      <c r="L16" s="42">
        <f>IF(B16="PRE",IF(Parameters!$B$22=0,0,K16/Parameters!$B$22),IF(B16="PRO",IF(Parameters!$C$22=0,0,K16/Parameters!$C$22),IF(Parameters!$D$22=0,0,K16/Parameters!$D$22)))</f>
        <v/>
      </c>
      <c r="M16" s="43">
        <f>IF(B16="PRE",J16*Parameters!$B$11,IF(B16="PRO",J16*Parameters!$C$11,J16*Parameters!$E$11))</f>
        <v/>
      </c>
      <c r="N16" s="43">
        <f>IF(B16="PRE",L16*Parameters!$B$12,IF(B16="PRO",L16*Parameters!$C$12,L16*Parameters!$E$12))</f>
        <v/>
      </c>
      <c r="O16" s="45">
        <f>(M16+N16)*Parameters!$B$5</f>
        <v/>
      </c>
      <c r="P16" s="45">
        <f>IF(B16="PRE",L16*Parameters!$B$23,IF(B16="PRO",L16*Parameters!$C$23,IF(Parameters!$D$22=0,J16*Parameters!$D$23,L16*Parameters!$D$23)))</f>
        <v/>
      </c>
      <c r="Q16" s="45">
        <f>O16+P16</f>
        <v/>
      </c>
      <c r="R16" s="45">
        <f>IF(OR(B16="PRE",B16="PRO"),Q16*$B$3,0)</f>
        <v/>
      </c>
      <c r="S16" s="45">
        <f>Q16+R16</f>
        <v/>
      </c>
    </row>
    <row r="17">
      <c r="A17">
        <f>Measurement!A14</f>
        <v/>
      </c>
      <c r="B17">
        <f>Measurement!B14</f>
        <v/>
      </c>
      <c r="C17">
        <f>Measurement!C14</f>
        <v/>
      </c>
      <c r="D17" s="43">
        <f>Measurement!D14</f>
        <v/>
      </c>
      <c r="E17" s="43">
        <f>Measurement!J14</f>
        <v/>
      </c>
      <c r="F17" s="43">
        <f>Measurement!E14</f>
        <v/>
      </c>
      <c r="G17" s="67">
        <f>Measurement!F14</f>
        <v/>
      </c>
      <c r="H17" s="67">
        <f>Measurement!I14</f>
        <v/>
      </c>
      <c r="I17" s="32">
        <f>Measurement!G14</f>
        <v/>
      </c>
      <c r="J17" s="42">
        <f>IF(B17="PRE",IF(Parameters!$B$21=0,0,I17/Parameters!$B$21),IF(B17="PRO",IF(Parameters!$C$21=0,0,I17/Parameters!$C$21),IF(Parameters!$D$21=0,0,I17/Parameters!$D$21)))</f>
        <v/>
      </c>
      <c r="K17" s="32">
        <f>Measurement!H14</f>
        <v/>
      </c>
      <c r="L17" s="42">
        <f>IF(B17="PRE",IF(Parameters!$B$22=0,0,K17/Parameters!$B$22),IF(B17="PRO",IF(Parameters!$C$22=0,0,K17/Parameters!$C$22),IF(Parameters!$D$22=0,0,K17/Parameters!$D$22)))</f>
        <v/>
      </c>
      <c r="M17" s="43">
        <f>IF(B17="PRE",J17*Parameters!$B$11,IF(B17="PRO",J17*Parameters!$C$11,J17*Parameters!$E$11))</f>
        <v/>
      </c>
      <c r="N17" s="43">
        <f>IF(B17="PRE",L17*Parameters!$B$12,IF(B17="PRO",L17*Parameters!$C$12,L17*Parameters!$E$12))</f>
        <v/>
      </c>
      <c r="O17" s="45">
        <f>(M17+N17)*Parameters!$B$5</f>
        <v/>
      </c>
      <c r="P17" s="45">
        <f>IF(B17="PRE",L17*Parameters!$B$23,IF(B17="PRO",L17*Parameters!$C$23,IF(Parameters!$D$22=0,J17*Parameters!$D$23,L17*Parameters!$D$23)))</f>
        <v/>
      </c>
      <c r="Q17" s="45">
        <f>O17+P17</f>
        <v/>
      </c>
      <c r="R17" s="45">
        <f>IF(OR(B17="PRE",B17="PRO"),Q17*$B$3,0)</f>
        <v/>
      </c>
      <c r="S17" s="45">
        <f>Q17+R17</f>
        <v/>
      </c>
    </row>
    <row r="18">
      <c r="A18">
        <f>Measurement!A15</f>
        <v/>
      </c>
      <c r="B18">
        <f>Measurement!B15</f>
        <v/>
      </c>
      <c r="C18">
        <f>Measurement!C15</f>
        <v/>
      </c>
      <c r="D18" s="43">
        <f>Measurement!D15</f>
        <v/>
      </c>
      <c r="E18" s="43">
        <f>Measurement!J15</f>
        <v/>
      </c>
      <c r="F18" s="43">
        <f>Measurement!E15</f>
        <v/>
      </c>
      <c r="G18" s="67">
        <f>Measurement!F15</f>
        <v/>
      </c>
      <c r="H18" s="67">
        <f>Measurement!I15</f>
        <v/>
      </c>
      <c r="I18" s="32">
        <f>Measurement!G15</f>
        <v/>
      </c>
      <c r="J18" s="42">
        <f>IF(B18="PRE",IF(Parameters!$B$21=0,0,I18/Parameters!$B$21),IF(B18="PRO",IF(Parameters!$C$21=0,0,I18/Parameters!$C$21),IF(Parameters!$D$21=0,0,I18/Parameters!$D$21)))</f>
        <v/>
      </c>
      <c r="K18" s="32">
        <f>Measurement!H15</f>
        <v/>
      </c>
      <c r="L18" s="42">
        <f>IF(B18="PRE",IF(Parameters!$B$22=0,0,K18/Parameters!$B$22),IF(B18="PRO",IF(Parameters!$C$22=0,0,K18/Parameters!$C$22),IF(Parameters!$D$22=0,0,K18/Parameters!$D$22)))</f>
        <v/>
      </c>
      <c r="M18" s="43">
        <f>IF(B18="PRE",J18*Parameters!$B$11,IF(B18="PRO",J18*Parameters!$C$11,J18*Parameters!$E$11))</f>
        <v/>
      </c>
      <c r="N18" s="43">
        <f>IF(B18="PRE",L18*Parameters!$B$12,IF(B18="PRO",L18*Parameters!$C$12,L18*Parameters!$E$12))</f>
        <v/>
      </c>
      <c r="O18" s="45">
        <f>(M18+N18)*Parameters!$B$5</f>
        <v/>
      </c>
      <c r="P18" s="45">
        <f>IF(B18="PRE",L18*Parameters!$B$23,IF(B18="PRO",L18*Parameters!$C$23,IF(Parameters!$D$22=0,J18*Parameters!$D$23,L18*Parameters!$D$23)))</f>
        <v/>
      </c>
      <c r="Q18" s="45">
        <f>O18+P18</f>
        <v/>
      </c>
      <c r="R18" s="45">
        <f>IF(OR(B18="PRE",B18="PRO"),Q18*$B$3,0)</f>
        <v/>
      </c>
      <c r="S18" s="45">
        <f>Q18+R18</f>
        <v/>
      </c>
    </row>
    <row r="19">
      <c r="A19">
        <f>Measurement!A16</f>
        <v/>
      </c>
      <c r="B19">
        <f>Measurement!B16</f>
        <v/>
      </c>
      <c r="C19">
        <f>Measurement!C16</f>
        <v/>
      </c>
      <c r="D19" s="43">
        <f>Measurement!D16</f>
        <v/>
      </c>
      <c r="E19" s="43">
        <f>Measurement!J16</f>
        <v/>
      </c>
      <c r="F19" s="43">
        <f>Measurement!E16</f>
        <v/>
      </c>
      <c r="G19" s="67">
        <f>Measurement!F16</f>
        <v/>
      </c>
      <c r="H19" s="67">
        <f>Measurement!I16</f>
        <v/>
      </c>
      <c r="I19" s="32">
        <f>Measurement!G16</f>
        <v/>
      </c>
      <c r="J19" s="42">
        <f>IF(B19="PRE",IF(Parameters!$B$21=0,0,I19/Parameters!$B$21),IF(B19="PRO",IF(Parameters!$C$21=0,0,I19/Parameters!$C$21),IF(Parameters!$D$21=0,0,I19/Parameters!$D$21)))</f>
        <v/>
      </c>
      <c r="K19" s="32">
        <f>Measurement!H16</f>
        <v/>
      </c>
      <c r="L19" s="42">
        <f>IF(B19="PRE",IF(Parameters!$B$22=0,0,K19/Parameters!$B$22),IF(B19="PRO",IF(Parameters!$C$22=0,0,K19/Parameters!$C$22),IF(Parameters!$D$22=0,0,K19/Parameters!$D$22)))</f>
        <v/>
      </c>
      <c r="M19" s="43">
        <f>IF(B19="PRE",J19*Parameters!$B$11,IF(B19="PRO",J19*Parameters!$C$11,J19*Parameters!$E$11))</f>
        <v/>
      </c>
      <c r="N19" s="43">
        <f>IF(B19="PRE",L19*Parameters!$B$12,IF(B19="PRO",L19*Parameters!$C$12,L19*Parameters!$E$12))</f>
        <v/>
      </c>
      <c r="O19" s="45">
        <f>(M19+N19)*Parameters!$B$5</f>
        <v/>
      </c>
      <c r="P19" s="45">
        <f>IF(B19="PRE",L19*Parameters!$B$23,IF(B19="PRO",L19*Parameters!$C$23,IF(Parameters!$D$22=0,J19*Parameters!$D$23,L19*Parameters!$D$23)))</f>
        <v/>
      </c>
      <c r="Q19" s="45">
        <f>O19+P19</f>
        <v/>
      </c>
      <c r="R19" s="45">
        <f>IF(OR(B19="PRE",B19="PRO"),Q19*$B$3,0)</f>
        <v/>
      </c>
      <c r="S19" s="45">
        <f>Q19+R19</f>
        <v/>
      </c>
    </row>
    <row r="20">
      <c r="A20">
        <f>Measurement!A17</f>
        <v/>
      </c>
      <c r="B20">
        <f>Measurement!B17</f>
        <v/>
      </c>
      <c r="C20">
        <f>Measurement!C17</f>
        <v/>
      </c>
      <c r="D20" s="43">
        <f>Measurement!D17</f>
        <v/>
      </c>
      <c r="E20" s="43">
        <f>Measurement!J17</f>
        <v/>
      </c>
      <c r="F20" s="43">
        <f>Measurement!E17</f>
        <v/>
      </c>
      <c r="G20" s="67">
        <f>Measurement!F17</f>
        <v/>
      </c>
      <c r="H20" s="67">
        <f>Measurement!I17</f>
        <v/>
      </c>
      <c r="I20" s="32">
        <f>Measurement!G17</f>
        <v/>
      </c>
      <c r="J20" s="42">
        <f>IF(B20="PRE",IF(Parameters!$B$21=0,0,I20/Parameters!$B$21),IF(B20="PRO",IF(Parameters!$C$21=0,0,I20/Parameters!$C$21),IF(Parameters!$D$21=0,0,I20/Parameters!$D$21)))</f>
        <v/>
      </c>
      <c r="K20" s="32">
        <f>Measurement!H17</f>
        <v/>
      </c>
      <c r="L20" s="42">
        <f>IF(B20="PRE",IF(Parameters!$B$22=0,0,K20/Parameters!$B$22),IF(B20="PRO",IF(Parameters!$C$22=0,0,K20/Parameters!$C$22),IF(Parameters!$D$22=0,0,K20/Parameters!$D$22)))</f>
        <v/>
      </c>
      <c r="M20" s="43">
        <f>IF(B20="PRE",J20*Parameters!$B$11,IF(B20="PRO",J20*Parameters!$C$11,J20*Parameters!$E$11))</f>
        <v/>
      </c>
      <c r="N20" s="43">
        <f>IF(B20="PRE",L20*Parameters!$B$12,IF(B20="PRO",L20*Parameters!$C$12,L20*Parameters!$E$12))</f>
        <v/>
      </c>
      <c r="O20" s="45">
        <f>(M20+N20)*Parameters!$B$5</f>
        <v/>
      </c>
      <c r="P20" s="45">
        <f>IF(B20="PRE",L20*Parameters!$B$23,IF(B20="PRO",L20*Parameters!$C$23,IF(Parameters!$D$22=0,J20*Parameters!$D$23,L20*Parameters!$D$23)))</f>
        <v/>
      </c>
      <c r="Q20" s="45">
        <f>O20+P20</f>
        <v/>
      </c>
      <c r="R20" s="45">
        <f>IF(OR(B20="PRE",B20="PRO"),Q20*$B$3,0)</f>
        <v/>
      </c>
      <c r="S20" s="45">
        <f>Q20+R20</f>
        <v/>
      </c>
    </row>
    <row r="21" ht="36" customHeight="1" s="58">
      <c r="A21">
        <f>Measurement!A18</f>
        <v/>
      </c>
      <c r="B21">
        <f>Measurement!B18</f>
        <v/>
      </c>
      <c r="C21">
        <f>Measurement!C18</f>
        <v/>
      </c>
      <c r="D21" s="43">
        <f>Measurement!D18</f>
        <v/>
      </c>
      <c r="E21" s="43">
        <f>Measurement!J18</f>
        <v/>
      </c>
      <c r="F21" s="43">
        <f>Measurement!E18</f>
        <v/>
      </c>
      <c r="G21" s="67">
        <f>Measurement!F18</f>
        <v/>
      </c>
      <c r="H21" s="67">
        <f>Measurement!I18</f>
        <v/>
      </c>
      <c r="I21" s="32">
        <f>Measurement!G18</f>
        <v/>
      </c>
      <c r="J21" s="42">
        <f>IF(B21="PRE",IF(Parameters!$B$21=0,0,I21/Parameters!$B$21),IF(B21="PRO",IF(Parameters!$C$21=0,0,I21/Parameters!$C$21),IF(Parameters!$D$21=0,0,I21/Parameters!$D$21)))</f>
        <v/>
      </c>
      <c r="K21" s="32">
        <f>Measurement!H18</f>
        <v/>
      </c>
      <c r="L21" s="42">
        <f>IF(B21="PRE",IF(Parameters!$B$22=0,0,K21/Parameters!$B$22),IF(B21="PRO",IF(Parameters!$C$22=0,0,K21/Parameters!$C$22),IF(Parameters!$D$22=0,0,K21/Parameters!$D$22)))</f>
        <v/>
      </c>
      <c r="M21" s="43">
        <f>IF(B21="PRE",J21*Parameters!$B$11,IF(B21="PRO",J21*Parameters!$C$11,J21*Parameters!$E$11))</f>
        <v/>
      </c>
      <c r="N21" s="43">
        <f>IF(B21="PRE",L21*Parameters!$B$12,IF(B21="PRO",L21*Parameters!$C$12,L21*Parameters!$E$12))</f>
        <v/>
      </c>
      <c r="O21" s="45">
        <f>(M21+N21)*Parameters!$B$5</f>
        <v/>
      </c>
      <c r="P21" s="45">
        <f>IF(B21="PRE",L21*Parameters!$B$23,IF(B21="PRO",L21*Parameters!$C$23,IF(Parameters!$D$22=0,J21*Parameters!$D$23,L21*Parameters!$D$23)))</f>
        <v/>
      </c>
      <c r="Q21" s="45">
        <f>O21+P21</f>
        <v/>
      </c>
      <c r="R21" s="45">
        <f>IF(OR(B21="PRE",B21="PRO"),Q21*$B$3,0)</f>
        <v/>
      </c>
      <c r="S21" s="45">
        <f>Q21+R21</f>
        <v/>
      </c>
    </row>
    <row r="22">
      <c r="A22">
        <f>Measurement!A19</f>
        <v/>
      </c>
      <c r="B22">
        <f>Measurement!B19</f>
        <v/>
      </c>
      <c r="C22">
        <f>Measurement!C19</f>
        <v/>
      </c>
      <c r="D22" s="43">
        <f>Measurement!D19</f>
        <v/>
      </c>
      <c r="E22" s="43">
        <f>Measurement!J19</f>
        <v/>
      </c>
      <c r="F22" s="43">
        <f>Measurement!E19</f>
        <v/>
      </c>
      <c r="G22" s="67">
        <f>Measurement!F19</f>
        <v/>
      </c>
      <c r="H22" s="67">
        <f>Measurement!I19</f>
        <v/>
      </c>
      <c r="I22" s="32">
        <f>Measurement!G19</f>
        <v/>
      </c>
      <c r="J22" s="42">
        <f>IF(B22="PRE",IF(Parameters!$B$21=0,0,I22/Parameters!$B$21),IF(B22="PRO",IF(Parameters!$C$21=0,0,I22/Parameters!$C$21),IF(Parameters!$D$21=0,0,I22/Parameters!$D$21)))</f>
        <v/>
      </c>
      <c r="K22" s="32">
        <f>Measurement!H19</f>
        <v/>
      </c>
      <c r="L22" s="42">
        <f>IF(B22="PRE",IF(Parameters!$B$22=0,0,K22/Parameters!$B$22),IF(B22="PRO",IF(Parameters!$C$22=0,0,K22/Parameters!$C$22),IF(Parameters!$D$22=0,0,K22/Parameters!$D$22)))</f>
        <v/>
      </c>
      <c r="M22" s="43">
        <f>IF(B22="PRE",J22*Parameters!$B$11,IF(B22="PRO",J22*Parameters!$C$11,J22*Parameters!$E$11))</f>
        <v/>
      </c>
      <c r="N22" s="43">
        <f>IF(B22="PRE",L22*Parameters!$B$12,IF(B22="PRO",L22*Parameters!$C$12,L22*Parameters!$E$12))</f>
        <v/>
      </c>
      <c r="O22" s="45">
        <f>(M22+N22)*Parameters!$B$5</f>
        <v/>
      </c>
      <c r="P22" s="45">
        <f>IF(B22="PRE",L22*Parameters!$B$23,IF(B22="PRO",L22*Parameters!$C$23,IF(Parameters!$D$22=0,J22*Parameters!$D$23,L22*Parameters!$D$23)))</f>
        <v/>
      </c>
      <c r="Q22" s="45">
        <f>O22+P22</f>
        <v/>
      </c>
      <c r="R22" s="45">
        <f>IF(OR(B22="PRE",B22="PRO"),Q22*$B$3,0)</f>
        <v/>
      </c>
      <c r="S22" s="45">
        <f>Q22+R22</f>
        <v/>
      </c>
    </row>
    <row r="23">
      <c r="A23">
        <f>Measurement!A20</f>
        <v/>
      </c>
      <c r="B23">
        <f>Measurement!B20</f>
        <v/>
      </c>
      <c r="C23">
        <f>Measurement!C20</f>
        <v/>
      </c>
      <c r="D23" s="43">
        <f>Measurement!D20</f>
        <v/>
      </c>
      <c r="E23" s="43">
        <f>Measurement!J20</f>
        <v/>
      </c>
      <c r="F23" s="43">
        <f>Measurement!E20</f>
        <v/>
      </c>
      <c r="G23" s="67">
        <f>Measurement!F20</f>
        <v/>
      </c>
      <c r="H23" s="67">
        <f>Measurement!I20</f>
        <v/>
      </c>
      <c r="I23" s="32">
        <f>Measurement!G20</f>
        <v/>
      </c>
      <c r="J23" s="42">
        <f>IF(B23="PRE",IF(Parameters!$B$21=0,0,I23/Parameters!$B$21),IF(B23="PRO",IF(Parameters!$C$21=0,0,I23/Parameters!$C$21),IF(Parameters!$D$21=0,0,I23/Parameters!$D$21)))</f>
        <v/>
      </c>
      <c r="K23" s="32">
        <f>Measurement!H20</f>
        <v/>
      </c>
      <c r="L23" s="42">
        <f>IF(B23="PRE",IF(Parameters!$B$22=0,0,K23/Parameters!$B$22),IF(B23="PRO",IF(Parameters!$C$22=0,0,K23/Parameters!$C$22),IF(Parameters!$D$22=0,0,K23/Parameters!$D$22)))</f>
        <v/>
      </c>
      <c r="M23" s="43">
        <f>IF(B23="PRE",J23*Parameters!$B$11,IF(B23="PRO",J23*Parameters!$C$11,J23*Parameters!$E$11))</f>
        <v/>
      </c>
      <c r="N23" s="43">
        <f>IF(B23="PRE",L23*Parameters!$B$12,IF(B23="PRO",L23*Parameters!$C$12,L23*Parameters!$E$12))</f>
        <v/>
      </c>
      <c r="O23" s="45">
        <f>(M23+N23)*Parameters!$B$5</f>
        <v/>
      </c>
      <c r="P23" s="45">
        <f>IF(B23="PRE",L23*Parameters!$B$23,IF(B23="PRO",L23*Parameters!$C$23,IF(Parameters!$D$22=0,J23*Parameters!$D$23,L23*Parameters!$D$23)))</f>
        <v/>
      </c>
      <c r="Q23" s="45">
        <f>O23+P23</f>
        <v/>
      </c>
      <c r="R23" s="45">
        <f>IF(OR(B23="PRE",B23="PRO"),Q23*$B$3,0)</f>
        <v/>
      </c>
      <c r="S23" s="45">
        <f>Q23+R23</f>
        <v/>
      </c>
    </row>
    <row r="24">
      <c r="A24">
        <f>Measurement!A21</f>
        <v/>
      </c>
      <c r="B24">
        <f>Measurement!B21</f>
        <v/>
      </c>
      <c r="C24">
        <f>Measurement!C21</f>
        <v/>
      </c>
      <c r="D24" s="43">
        <f>Measurement!D21</f>
        <v/>
      </c>
      <c r="E24" s="43">
        <f>Measurement!J21</f>
        <v/>
      </c>
      <c r="F24" s="43">
        <f>Measurement!E21</f>
        <v/>
      </c>
      <c r="G24" s="67">
        <f>Measurement!F21</f>
        <v/>
      </c>
      <c r="H24" s="67">
        <f>Measurement!I21</f>
        <v/>
      </c>
      <c r="I24" s="32">
        <f>Measurement!G21</f>
        <v/>
      </c>
      <c r="J24" s="42">
        <f>IF(B24="PRE",IF(Parameters!$B$21=0,0,I24/Parameters!$B$21),IF(B24="PRO",IF(Parameters!$C$21=0,0,I24/Parameters!$C$21),IF(Parameters!$D$21=0,0,I24/Parameters!$D$21)))</f>
        <v/>
      </c>
      <c r="K24" s="32">
        <f>Measurement!H21</f>
        <v/>
      </c>
      <c r="L24" s="42">
        <f>IF(B24="PRE",IF(Parameters!$B$22=0,0,K24/Parameters!$B$22),IF(B24="PRO",IF(Parameters!$C$22=0,0,K24/Parameters!$C$22),IF(Parameters!$D$22=0,0,K24/Parameters!$D$22)))</f>
        <v/>
      </c>
      <c r="M24" s="43">
        <f>IF(B24="PRE",J24*Parameters!$B$11,IF(B24="PRO",J24*Parameters!$C$11,J24*Parameters!$E$11))</f>
        <v/>
      </c>
      <c r="N24" s="43">
        <f>IF(B24="PRE",L24*Parameters!$B$12,IF(B24="PRO",L24*Parameters!$C$12,L24*Parameters!$E$12))</f>
        <v/>
      </c>
      <c r="O24" s="45">
        <f>(M24+N24)*Parameters!$B$5</f>
        <v/>
      </c>
      <c r="P24" s="45">
        <f>IF(B24="PRE",L24*Parameters!$B$23,IF(B24="PRO",L24*Parameters!$C$23,IF(Parameters!$D$22=0,J24*Parameters!$D$23,L24*Parameters!$D$23)))</f>
        <v/>
      </c>
      <c r="Q24" s="45">
        <f>O24+P24</f>
        <v/>
      </c>
      <c r="R24" s="45">
        <f>IF(OR(B24="PRE",B24="PRO"),Q24*$B$3,0)</f>
        <v/>
      </c>
      <c r="S24" s="45">
        <f>Q24+R24</f>
        <v/>
      </c>
    </row>
    <row r="25">
      <c r="A25">
        <f>Measurement!A22</f>
        <v/>
      </c>
      <c r="B25">
        <f>Measurement!B22</f>
        <v/>
      </c>
      <c r="C25">
        <f>Measurement!C22</f>
        <v/>
      </c>
      <c r="D25" s="43">
        <f>Measurement!D22</f>
        <v/>
      </c>
      <c r="E25" s="43">
        <f>Measurement!J22</f>
        <v/>
      </c>
      <c r="F25" s="43">
        <f>Measurement!E22</f>
        <v/>
      </c>
      <c r="G25" s="67">
        <f>Measurement!F22</f>
        <v/>
      </c>
      <c r="H25" s="67">
        <f>Measurement!I22</f>
        <v/>
      </c>
      <c r="I25" s="32">
        <f>Measurement!G22</f>
        <v/>
      </c>
      <c r="J25" s="42">
        <f>IF(B25="PRE",IF(Parameters!$B$21=0,0,I25/Parameters!$B$21),IF(B25="PRO",IF(Parameters!$C$21=0,0,I25/Parameters!$C$21),IF(Parameters!$D$21=0,0,I25/Parameters!$D$21)))</f>
        <v/>
      </c>
      <c r="K25" s="32">
        <f>Measurement!H22</f>
        <v/>
      </c>
      <c r="L25" s="42">
        <f>IF(B25="PRE",IF(Parameters!$B$22=0,0,K25/Parameters!$B$22),IF(B25="PRO",IF(Parameters!$C$22=0,0,K25/Parameters!$C$22),IF(Parameters!$D$22=0,0,K25/Parameters!$D$22)))</f>
        <v/>
      </c>
      <c r="M25" s="43">
        <f>IF(B25="PRE",J25*Parameters!$B$11,IF(B25="PRO",J25*Parameters!$C$11,J25*Parameters!$E$11))</f>
        <v/>
      </c>
      <c r="N25" s="43">
        <f>IF(B25="PRE",L25*Parameters!$B$12,IF(B25="PRO",L25*Parameters!$C$12,L25*Parameters!$E$12))</f>
        <v/>
      </c>
      <c r="O25" s="45">
        <f>(M25+N25)*Parameters!$B$5</f>
        <v/>
      </c>
      <c r="P25" s="45">
        <f>IF(B25="PRE",L25*Parameters!$B$23,IF(B25="PRO",L25*Parameters!$C$23,IF(Parameters!$D$22=0,J25*Parameters!$D$23,L25*Parameters!$D$23)))</f>
        <v/>
      </c>
      <c r="Q25" s="45">
        <f>O25+P25</f>
        <v/>
      </c>
      <c r="R25" s="45">
        <f>IF(OR(B25="PRE",B25="PRO"),Q25*$B$3,0)</f>
        <v/>
      </c>
      <c r="S25" s="45">
        <f>Q25+R25</f>
        <v/>
      </c>
    </row>
    <row r="26">
      <c r="A26">
        <f>Measurement!A23</f>
        <v/>
      </c>
      <c r="B26">
        <f>Measurement!B23</f>
        <v/>
      </c>
      <c r="C26">
        <f>Measurement!C23</f>
        <v/>
      </c>
      <c r="D26" s="43">
        <f>Measurement!D23</f>
        <v/>
      </c>
      <c r="E26" s="43">
        <f>Measurement!J23</f>
        <v/>
      </c>
      <c r="F26" s="43">
        <f>Measurement!E23</f>
        <v/>
      </c>
      <c r="G26" s="67">
        <f>Measurement!F23</f>
        <v/>
      </c>
      <c r="H26" s="67">
        <f>Measurement!I23</f>
        <v/>
      </c>
      <c r="I26" s="32">
        <f>Measurement!G23</f>
        <v/>
      </c>
      <c r="J26" s="42">
        <f>IF(B26="PRE",IF(Parameters!$B$21=0,0,I26/Parameters!$B$21),IF(B26="PRO",IF(Parameters!$C$21=0,0,I26/Parameters!$C$21),IF(Parameters!$D$21=0,0,I26/Parameters!$D$21)))</f>
        <v/>
      </c>
      <c r="K26" s="32">
        <f>Measurement!H23</f>
        <v/>
      </c>
      <c r="L26" s="42">
        <f>IF(B26="PRE",IF(Parameters!$B$22=0,0,K26/Parameters!$B$22),IF(B26="PRO",IF(Parameters!$C$22=0,0,K26/Parameters!$C$22),IF(Parameters!$D$22=0,0,K26/Parameters!$D$22)))</f>
        <v/>
      </c>
      <c r="M26" s="43">
        <f>IF(B26="PRE",J26*Parameters!$B$11,IF(B26="PRO",J26*Parameters!$C$11,J26*Parameters!$E$11))</f>
        <v/>
      </c>
      <c r="N26" s="43">
        <f>IF(B26="PRE",L26*Parameters!$B$12,IF(B26="PRO",L26*Parameters!$C$12,L26*Parameters!$E$12))</f>
        <v/>
      </c>
      <c r="O26" s="45">
        <f>(M26+N26)*Parameters!$B$5</f>
        <v/>
      </c>
      <c r="P26" s="45">
        <f>IF(B26="PRE",L26*Parameters!$B$23,IF(B26="PRO",L26*Parameters!$C$23,IF(Parameters!$D$22=0,J26*Parameters!$D$23,L26*Parameters!$D$23)))</f>
        <v/>
      </c>
      <c r="Q26" s="45">
        <f>O26+P26</f>
        <v/>
      </c>
      <c r="R26" s="45">
        <f>IF(OR(B26="PRE",B26="PRO"),Q26*$B$3,0)</f>
        <v/>
      </c>
      <c r="S26" s="45">
        <f>Q26+R26</f>
        <v/>
      </c>
    </row>
    <row r="27">
      <c r="A27">
        <f>Measurement!A24</f>
        <v/>
      </c>
      <c r="B27">
        <f>Measurement!B24</f>
        <v/>
      </c>
      <c r="C27">
        <f>Measurement!C24</f>
        <v/>
      </c>
      <c r="D27" s="43">
        <f>Measurement!D24</f>
        <v/>
      </c>
      <c r="E27" s="43">
        <f>Measurement!J24</f>
        <v/>
      </c>
      <c r="F27" s="43">
        <f>Measurement!E24</f>
        <v/>
      </c>
      <c r="G27" s="67">
        <f>Measurement!F24</f>
        <v/>
      </c>
      <c r="H27" s="67">
        <f>Measurement!I24</f>
        <v/>
      </c>
      <c r="I27" s="32">
        <f>Measurement!G24</f>
        <v/>
      </c>
      <c r="J27" s="42">
        <f>IF(B27="PRE",IF(Parameters!$B$21=0,0,I27/Parameters!$B$21),IF(B27="PRO",IF(Parameters!$C$21=0,0,I27/Parameters!$C$21),IF(Parameters!$D$21=0,0,I27/Parameters!$D$21)))</f>
        <v/>
      </c>
      <c r="K27" s="32">
        <f>Measurement!H24</f>
        <v/>
      </c>
      <c r="L27" s="42">
        <f>IF(B27="PRE",IF(Parameters!$B$22=0,0,K27/Parameters!$B$22),IF(B27="PRO",IF(Parameters!$C$22=0,0,K27/Parameters!$C$22),IF(Parameters!$D$22=0,0,K27/Parameters!$D$22)))</f>
        <v/>
      </c>
      <c r="M27" s="43">
        <f>IF(B27="PRE",J27*Parameters!$B$11,IF(B27="PRO",J27*Parameters!$C$11,J27*Parameters!$E$11))</f>
        <v/>
      </c>
      <c r="N27" s="43">
        <f>IF(B27="PRE",L27*Parameters!$B$12,IF(B27="PRO",L27*Parameters!$C$12,L27*Parameters!$E$12))</f>
        <v/>
      </c>
      <c r="O27" s="45">
        <f>(M27+N27)*Parameters!$B$5</f>
        <v/>
      </c>
      <c r="P27" s="45">
        <f>IF(B27="PRE",L27*Parameters!$B$23,IF(B27="PRO",L27*Parameters!$C$23,IF(Parameters!$D$22=0,J27*Parameters!$D$23,L27*Parameters!$D$23)))</f>
        <v/>
      </c>
      <c r="Q27" s="45">
        <f>O27+P27</f>
        <v/>
      </c>
      <c r="R27" s="45">
        <f>IF(OR(B27="PRE",B27="PRO"),Q27*$B$3,0)</f>
        <v/>
      </c>
      <c r="S27" s="45">
        <f>Q27+R27</f>
        <v/>
      </c>
    </row>
    <row r="28">
      <c r="A28">
        <f>Measurement!A25</f>
        <v/>
      </c>
      <c r="B28">
        <f>Measurement!B25</f>
        <v/>
      </c>
      <c r="C28">
        <f>Measurement!C25</f>
        <v/>
      </c>
      <c r="D28" s="43">
        <f>Measurement!D25</f>
        <v/>
      </c>
      <c r="E28" s="43">
        <f>Measurement!J25</f>
        <v/>
      </c>
      <c r="F28" s="43">
        <f>Measurement!E25</f>
        <v/>
      </c>
      <c r="G28" s="67">
        <f>Measurement!F25</f>
        <v/>
      </c>
      <c r="H28" s="67">
        <f>Measurement!I25</f>
        <v/>
      </c>
      <c r="I28" s="32">
        <f>Measurement!G25</f>
        <v/>
      </c>
      <c r="J28" s="42">
        <f>IF(B28="PRE",IF(Parameters!$B$21=0,0,I28/Parameters!$B$21),IF(B28="PRO",IF(Parameters!$C$21=0,0,I28/Parameters!$C$21),IF(Parameters!$D$21=0,0,I28/Parameters!$D$21)))</f>
        <v/>
      </c>
      <c r="K28" s="32">
        <f>Measurement!H25</f>
        <v/>
      </c>
      <c r="L28" s="42">
        <f>IF(B28="PRE",IF(Parameters!$B$22=0,0,K28/Parameters!$B$22),IF(B28="PRO",IF(Parameters!$C$22=0,0,K28/Parameters!$C$22),IF(Parameters!$D$22=0,0,K28/Parameters!$D$22)))</f>
        <v/>
      </c>
      <c r="M28" s="43">
        <f>IF(B28="PRE",J28*Parameters!$B$11,IF(B28="PRO",J28*Parameters!$C$11,J28*Parameters!$E$11))</f>
        <v/>
      </c>
      <c r="N28" s="43">
        <f>IF(B28="PRE",L28*Parameters!$B$12,IF(B28="PRO",L28*Parameters!$C$12,L28*Parameters!$E$12))</f>
        <v/>
      </c>
      <c r="O28" s="45">
        <f>(M28+N28)*Parameters!$B$5</f>
        <v/>
      </c>
      <c r="P28" s="45">
        <f>IF(B28="PRE",L28*Parameters!$B$23,IF(B28="PRO",L28*Parameters!$C$23,IF(Parameters!$D$22=0,J28*Parameters!$D$23,L28*Parameters!$D$23)))</f>
        <v/>
      </c>
      <c r="Q28" s="45">
        <f>O28+P28</f>
        <v/>
      </c>
      <c r="R28" s="45">
        <f>IF(OR(B28="PRE",B28="PRO"),Q28*$B$3,0)</f>
        <v/>
      </c>
      <c r="S28" s="45">
        <f>Q28+R28</f>
        <v/>
      </c>
    </row>
    <row r="29">
      <c r="A29">
        <f>Measurement!A26</f>
        <v/>
      </c>
      <c r="B29">
        <f>Measurement!B26</f>
        <v/>
      </c>
      <c r="C29">
        <f>Measurement!C26</f>
        <v/>
      </c>
      <c r="D29" s="43">
        <f>Measurement!D26</f>
        <v/>
      </c>
      <c r="E29" s="43">
        <f>Measurement!J26</f>
        <v/>
      </c>
      <c r="F29" s="43">
        <f>Measurement!E26</f>
        <v/>
      </c>
      <c r="G29" s="67">
        <f>Measurement!F26</f>
        <v/>
      </c>
      <c r="H29" s="67">
        <f>Measurement!I26</f>
        <v/>
      </c>
      <c r="I29" s="32">
        <f>Measurement!G26</f>
        <v/>
      </c>
      <c r="J29" s="42">
        <f>IF(B29="PRE",IF(Parameters!$B$21=0,0,I29/Parameters!$B$21),IF(B29="PRO",IF(Parameters!$C$21=0,0,I29/Parameters!$C$21),IF(Parameters!$D$21=0,0,I29/Parameters!$D$21)))</f>
        <v/>
      </c>
      <c r="K29" s="32">
        <f>Measurement!H26</f>
        <v/>
      </c>
      <c r="L29" s="42">
        <f>IF(B29="PRE",IF(Parameters!$B$22=0,0,K29/Parameters!$B$22),IF(B29="PRO",IF(Parameters!$C$22=0,0,K29/Parameters!$C$22),IF(Parameters!$D$22=0,0,K29/Parameters!$D$22)))</f>
        <v/>
      </c>
      <c r="M29" s="43">
        <f>IF(B29="PRE",J29*Parameters!$B$11,IF(B29="PRO",J29*Parameters!$C$11,J29*Parameters!$E$11))</f>
        <v/>
      </c>
      <c r="N29" s="43">
        <f>IF(B29="PRE",L29*Parameters!$B$12,IF(B29="PRO",L29*Parameters!$C$12,L29*Parameters!$E$12))</f>
        <v/>
      </c>
      <c r="O29" s="45">
        <f>(M29+N29)*Parameters!$B$5</f>
        <v/>
      </c>
      <c r="P29" s="45">
        <f>IF(B29="PRE",L29*Parameters!$B$23,IF(B29="PRO",L29*Parameters!$C$23,IF(Parameters!$D$22=0,J29*Parameters!$D$23,L29*Parameters!$D$23)))</f>
        <v/>
      </c>
      <c r="Q29" s="45">
        <f>O29+P29</f>
        <v/>
      </c>
      <c r="R29" s="45">
        <f>IF(OR(B29="PRE",B29="PRO"),Q29*$B$3,0)</f>
        <v/>
      </c>
      <c r="S29" s="45">
        <f>Q29+R29</f>
        <v/>
      </c>
    </row>
    <row r="30">
      <c r="A30">
        <f>Measurement!A27</f>
        <v/>
      </c>
      <c r="B30">
        <f>Measurement!B27</f>
        <v/>
      </c>
      <c r="C30">
        <f>Measurement!C27</f>
        <v/>
      </c>
      <c r="D30" s="43">
        <f>Measurement!D27</f>
        <v/>
      </c>
      <c r="E30" s="43">
        <f>Measurement!J27</f>
        <v/>
      </c>
      <c r="F30" s="43">
        <f>Measurement!E27</f>
        <v/>
      </c>
      <c r="G30" s="67">
        <f>Measurement!F27</f>
        <v/>
      </c>
      <c r="H30" s="67">
        <f>Measurement!I27</f>
        <v/>
      </c>
      <c r="I30" s="32">
        <f>Measurement!G27</f>
        <v/>
      </c>
      <c r="J30" s="42">
        <f>IF(B30="PRE",IF(Parameters!$B$21=0,0,I30/Parameters!$B$21),IF(B30="PRO",IF(Parameters!$C$21=0,0,I30/Parameters!$C$21),IF(Parameters!$D$21=0,0,I30/Parameters!$D$21)))</f>
        <v/>
      </c>
      <c r="K30" s="32">
        <f>Measurement!H27</f>
        <v/>
      </c>
      <c r="L30" s="42">
        <f>IF(B30="PRE",IF(Parameters!$B$22=0,0,K30/Parameters!$B$22),IF(B30="PRO",IF(Parameters!$C$22=0,0,K30/Parameters!$C$22),IF(Parameters!$D$22=0,0,K30/Parameters!$D$22)))</f>
        <v/>
      </c>
      <c r="M30" s="43">
        <f>IF(B30="PRE",J30*Parameters!$B$11,IF(B30="PRO",J30*Parameters!$C$11,J30*Parameters!$E$11))</f>
        <v/>
      </c>
      <c r="N30" s="43">
        <f>IF(B30="PRE",L30*Parameters!$B$12,IF(B30="PRO",L30*Parameters!$C$12,L30*Parameters!$E$12))</f>
        <v/>
      </c>
      <c r="O30" s="45">
        <f>(M30+N30)*Parameters!$B$5</f>
        <v/>
      </c>
      <c r="P30" s="45">
        <f>IF(B30="PRE",L30*Parameters!$B$23,IF(B30="PRO",L30*Parameters!$C$23,IF(Parameters!$D$22=0,J30*Parameters!$D$23,L30*Parameters!$D$23)))</f>
        <v/>
      </c>
      <c r="Q30" s="45">
        <f>O30+P30</f>
        <v/>
      </c>
      <c r="R30" s="45">
        <f>IF(OR(B30="PRE",B30="PRO"),Q30*$B$3,0)</f>
        <v/>
      </c>
      <c r="S30" s="45">
        <f>Q30+R30</f>
        <v/>
      </c>
    </row>
    <row r="31">
      <c r="A31">
        <f>Measurement!A28</f>
        <v/>
      </c>
      <c r="B31">
        <f>Measurement!B28</f>
        <v/>
      </c>
      <c r="C31">
        <f>Measurement!C28</f>
        <v/>
      </c>
      <c r="D31" s="43">
        <f>Measurement!D28</f>
        <v/>
      </c>
      <c r="E31" s="43">
        <f>Measurement!J28</f>
        <v/>
      </c>
      <c r="F31" s="43">
        <f>Measurement!E28</f>
        <v/>
      </c>
      <c r="G31" s="67">
        <f>Measurement!F28</f>
        <v/>
      </c>
      <c r="H31" s="67">
        <f>Measurement!I28</f>
        <v/>
      </c>
      <c r="I31" s="32">
        <f>Measurement!G28</f>
        <v/>
      </c>
      <c r="J31" s="42">
        <f>IF(B31="PRE",IF(Parameters!$B$21=0,0,I31/Parameters!$B$21),IF(B31="PRO",IF(Parameters!$C$21=0,0,I31/Parameters!$C$21),IF(Parameters!$D$21=0,0,I31/Parameters!$D$21)))</f>
        <v/>
      </c>
      <c r="K31" s="32">
        <f>Measurement!H28</f>
        <v/>
      </c>
      <c r="L31" s="42">
        <f>IF(B31="PRE",IF(Parameters!$B$22=0,0,K31/Parameters!$B$22),IF(B31="PRO",IF(Parameters!$C$22=0,0,K31/Parameters!$C$22),IF(Parameters!$D$22=0,0,K31/Parameters!$D$22)))</f>
        <v/>
      </c>
      <c r="M31" s="43">
        <f>IF(B31="PRE",J31*Parameters!$B$11,IF(B31="PRO",J31*Parameters!$C$11,J31*Parameters!$E$11))</f>
        <v/>
      </c>
      <c r="N31" s="43">
        <f>IF(B31="PRE",L31*Parameters!$B$12,IF(B31="PRO",L31*Parameters!$C$12,L31*Parameters!$E$12))</f>
        <v/>
      </c>
      <c r="O31" s="45">
        <f>(M31+N31)*Parameters!$B$5</f>
        <v/>
      </c>
      <c r="P31" s="45">
        <f>IF(B31="PRE",L31*Parameters!$B$23,IF(B31="PRO",L31*Parameters!$C$23,IF(Parameters!$D$22=0,J31*Parameters!$D$23,L31*Parameters!$D$23)))</f>
        <v/>
      </c>
      <c r="Q31" s="45">
        <f>O31+P31</f>
        <v/>
      </c>
      <c r="R31" s="45">
        <f>IF(OR(B31="PRE",B31="PRO"),Q31*$B$3,0)</f>
        <v/>
      </c>
      <c r="S31" s="45">
        <f>Q31+R31</f>
        <v/>
      </c>
    </row>
    <row r="32">
      <c r="A32">
        <f>Measurement!A29</f>
        <v/>
      </c>
      <c r="B32">
        <f>Measurement!B29</f>
        <v/>
      </c>
      <c r="C32">
        <f>Measurement!C29</f>
        <v/>
      </c>
      <c r="D32" s="43">
        <f>Measurement!D29</f>
        <v/>
      </c>
      <c r="E32" s="43">
        <f>Measurement!J29</f>
        <v/>
      </c>
      <c r="F32" s="43">
        <f>Measurement!E29</f>
        <v/>
      </c>
      <c r="G32" s="67">
        <f>Measurement!F29</f>
        <v/>
      </c>
      <c r="H32" s="67">
        <f>Measurement!I29</f>
        <v/>
      </c>
      <c r="I32" s="32">
        <f>Measurement!G29</f>
        <v/>
      </c>
      <c r="J32" s="42">
        <f>IF(B32="PRE",IF(Parameters!$B$21=0,0,I32/Parameters!$B$21),IF(B32="PRO",IF(Parameters!$C$21=0,0,I32/Parameters!$C$21),IF(Parameters!$D$21=0,0,I32/Parameters!$D$21)))</f>
        <v/>
      </c>
      <c r="K32" s="32">
        <f>Measurement!H29</f>
        <v/>
      </c>
      <c r="L32" s="42">
        <f>IF(B32="PRE",IF(Parameters!$B$22=0,0,K32/Parameters!$B$22),IF(B32="PRO",IF(Parameters!$C$22=0,0,K32/Parameters!$C$22),IF(Parameters!$D$22=0,0,K32/Parameters!$D$22)))</f>
        <v/>
      </c>
      <c r="M32" s="43">
        <f>IF(B32="PRE",J32*Parameters!$B$11,IF(B32="PRO",J32*Parameters!$C$11,J32*Parameters!$E$11))</f>
        <v/>
      </c>
      <c r="N32" s="43">
        <f>IF(B32="PRE",L32*Parameters!$B$12,IF(B32="PRO",L32*Parameters!$C$12,L32*Parameters!$E$12))</f>
        <v/>
      </c>
      <c r="O32" s="45">
        <f>(M32+N32)*Parameters!$B$5</f>
        <v/>
      </c>
      <c r="P32" s="45">
        <f>IF(B32="PRE",L32*Parameters!$B$23,IF(B32="PRO",L32*Parameters!$C$23,IF(Parameters!$D$22=0,J32*Parameters!$D$23,L32*Parameters!$D$23)))</f>
        <v/>
      </c>
      <c r="Q32" s="45">
        <f>O32+P32</f>
        <v/>
      </c>
      <c r="R32" s="45">
        <f>IF(OR(B32="PRE",B32="PRO"),Q32*$B$3,0)</f>
        <v/>
      </c>
      <c r="S32" s="45">
        <f>Q32+R32</f>
        <v/>
      </c>
    </row>
    <row r="33">
      <c r="A33">
        <f>Measurement!A30</f>
        <v/>
      </c>
      <c r="B33">
        <f>Measurement!B30</f>
        <v/>
      </c>
      <c r="C33">
        <f>Measurement!C30</f>
        <v/>
      </c>
      <c r="D33" s="43">
        <f>Measurement!D30</f>
        <v/>
      </c>
      <c r="E33" s="43">
        <f>Measurement!J30</f>
        <v/>
      </c>
      <c r="F33" s="43">
        <f>Measurement!E30</f>
        <v/>
      </c>
      <c r="G33" s="67">
        <f>Measurement!F30</f>
        <v/>
      </c>
      <c r="H33" s="67">
        <f>Measurement!I30</f>
        <v/>
      </c>
      <c r="I33" s="32">
        <f>Measurement!G30</f>
        <v/>
      </c>
      <c r="J33" s="42">
        <f>IF(B33="PRE",IF(Parameters!$B$21=0,0,I33/Parameters!$B$21),IF(B33="PRO",IF(Parameters!$C$21=0,0,I33/Parameters!$C$21),IF(Parameters!$D$21=0,0,I33/Parameters!$D$21)))</f>
        <v/>
      </c>
      <c r="K33" s="32">
        <f>Measurement!H30</f>
        <v/>
      </c>
      <c r="L33" s="42">
        <f>IF(B33="PRE",IF(Parameters!$B$22=0,0,K33/Parameters!$B$22),IF(B33="PRO",IF(Parameters!$C$22=0,0,K33/Parameters!$C$22),IF(Parameters!$D$22=0,0,K33/Parameters!$D$22)))</f>
        <v/>
      </c>
      <c r="M33" s="43">
        <f>IF(B33="PRE",J33*Parameters!$B$11,IF(B33="PRO",J33*Parameters!$C$11,J33*Parameters!$E$11))</f>
        <v/>
      </c>
      <c r="N33" s="43">
        <f>IF(B33="PRE",L33*Parameters!$B$12,IF(B33="PRO",L33*Parameters!$C$12,L33*Parameters!$E$12))</f>
        <v/>
      </c>
      <c r="O33" s="45">
        <f>(M33+N33)*Parameters!$B$5</f>
        <v/>
      </c>
      <c r="P33" s="45">
        <f>IF(B33="PRE",L33*Parameters!$B$23,IF(B33="PRO",L33*Parameters!$C$23,IF(Parameters!$D$22=0,J33*Parameters!$D$23,L33*Parameters!$D$23)))</f>
        <v/>
      </c>
      <c r="Q33" s="45">
        <f>O33+P33</f>
        <v/>
      </c>
      <c r="R33" s="45">
        <f>IF(OR(B33="PRE",B33="PRO"),Q33*$B$3,0)</f>
        <v/>
      </c>
      <c r="S33" s="45">
        <f>Q33+R33</f>
        <v/>
      </c>
    </row>
    <row r="34">
      <c r="A34">
        <f>Measurement!A31</f>
        <v/>
      </c>
      <c r="B34">
        <f>Measurement!B31</f>
        <v/>
      </c>
      <c r="C34">
        <f>Measurement!C31</f>
        <v/>
      </c>
      <c r="D34" s="43">
        <f>Measurement!D31</f>
        <v/>
      </c>
      <c r="E34" s="43">
        <f>Measurement!J31</f>
        <v/>
      </c>
      <c r="F34" s="43">
        <f>Measurement!E31</f>
        <v/>
      </c>
      <c r="G34" s="67">
        <f>Measurement!F31</f>
        <v/>
      </c>
      <c r="H34" s="67">
        <f>Measurement!I31</f>
        <v/>
      </c>
      <c r="I34" s="32">
        <f>Measurement!G31</f>
        <v/>
      </c>
      <c r="J34" s="42">
        <f>IF(B34="PRE",IF(Parameters!$B$21=0,0,I34/Parameters!$B$21),IF(B34="PRO",IF(Parameters!$C$21=0,0,I34/Parameters!$C$21),IF(Parameters!$D$21=0,0,I34/Parameters!$D$21)))</f>
        <v/>
      </c>
      <c r="K34" s="32">
        <f>Measurement!H31</f>
        <v/>
      </c>
      <c r="L34" s="42">
        <f>IF(B34="PRE",IF(Parameters!$B$22=0,0,K34/Parameters!$B$22),IF(B34="PRO",IF(Parameters!$C$22=0,0,K34/Parameters!$C$22),IF(Parameters!$D$22=0,0,K34/Parameters!$D$22)))</f>
        <v/>
      </c>
      <c r="M34" s="43">
        <f>IF(B34="PRE",J34*Parameters!$B$11,IF(B34="PRO",J34*Parameters!$C$11,J34*Parameters!$E$11))</f>
        <v/>
      </c>
      <c r="N34" s="43">
        <f>IF(B34="PRE",L34*Parameters!$B$12,IF(B34="PRO",L34*Parameters!$C$12,L34*Parameters!$E$12))</f>
        <v/>
      </c>
      <c r="O34" s="45">
        <f>(M34+N34)*Parameters!$B$5</f>
        <v/>
      </c>
      <c r="P34" s="45">
        <f>IF(B34="PRE",L34*Parameters!$B$23,IF(B34="PRO",L34*Parameters!$C$23,IF(Parameters!$D$22=0,J34*Parameters!$D$23,L34*Parameters!$D$23)))</f>
        <v/>
      </c>
      <c r="Q34" s="45">
        <f>O34+P34</f>
        <v/>
      </c>
      <c r="R34" s="45">
        <f>IF(OR(B34="PRE",B34="PRO"),Q34*$B$3,0)</f>
        <v/>
      </c>
      <c r="S34" s="45">
        <f>Q34+R34</f>
        <v/>
      </c>
    </row>
    <row r="35">
      <c r="A35">
        <f>Measurement!A32</f>
        <v/>
      </c>
      <c r="B35">
        <f>Measurement!B32</f>
        <v/>
      </c>
      <c r="C35">
        <f>Measurement!C32</f>
        <v/>
      </c>
      <c r="D35" s="43">
        <f>Measurement!D32</f>
        <v/>
      </c>
      <c r="E35" s="43">
        <f>Measurement!J32</f>
        <v/>
      </c>
      <c r="F35" s="43">
        <f>Measurement!E32</f>
        <v/>
      </c>
      <c r="G35" s="67">
        <f>Measurement!F32</f>
        <v/>
      </c>
      <c r="H35" s="67">
        <f>Measurement!I32</f>
        <v/>
      </c>
      <c r="I35" s="32">
        <f>Measurement!G32</f>
        <v/>
      </c>
      <c r="J35" s="42">
        <f>IF(B35="PRE",IF(Parameters!$B$21=0,0,I35/Parameters!$B$21),IF(B35="PRO",IF(Parameters!$C$21=0,0,I35/Parameters!$C$21),IF(Parameters!$D$21=0,0,I35/Parameters!$D$21)))</f>
        <v/>
      </c>
      <c r="K35" s="32">
        <f>Measurement!H32</f>
        <v/>
      </c>
      <c r="L35" s="42">
        <f>IF(B35="PRE",IF(Parameters!$B$22=0,0,K35/Parameters!$B$22),IF(B35="PRO",IF(Parameters!$C$22=0,0,K35/Parameters!$C$22),IF(Parameters!$D$22=0,0,K35/Parameters!$D$22)))</f>
        <v/>
      </c>
      <c r="M35" s="43">
        <f>IF(B35="PRE",J35*Parameters!$B$11,IF(B35="PRO",J35*Parameters!$C$11,J35*Parameters!$E$11))</f>
        <v/>
      </c>
      <c r="N35" s="43">
        <f>IF(B35="PRE",L35*Parameters!$B$12,IF(B35="PRO",L35*Parameters!$C$12,L35*Parameters!$E$12))</f>
        <v/>
      </c>
      <c r="O35" s="45">
        <f>(M35+N35)*Parameters!$B$5</f>
        <v/>
      </c>
      <c r="P35" s="45">
        <f>IF(B35="PRE",L35*Parameters!$B$23,IF(B35="PRO",L35*Parameters!$C$23,IF(Parameters!$D$22=0,J35*Parameters!$D$23,L35*Parameters!$D$23)))</f>
        <v/>
      </c>
      <c r="Q35" s="45">
        <f>O35+P35</f>
        <v/>
      </c>
      <c r="R35" s="45">
        <f>IF(OR(B35="PRE",B35="PRO"),Q35*$B$3,0)</f>
        <v/>
      </c>
      <c r="S35" s="45">
        <f>Q35+R35</f>
        <v/>
      </c>
    </row>
    <row r="36">
      <c r="A36">
        <f>Measurement!A33</f>
        <v/>
      </c>
      <c r="B36">
        <f>Measurement!B33</f>
        <v/>
      </c>
      <c r="C36">
        <f>Measurement!C33</f>
        <v/>
      </c>
      <c r="D36" s="43">
        <f>Measurement!D33</f>
        <v/>
      </c>
      <c r="E36" s="43">
        <f>Measurement!J33</f>
        <v/>
      </c>
      <c r="F36" s="43">
        <f>Measurement!E33</f>
        <v/>
      </c>
      <c r="G36" s="67">
        <f>Measurement!F33</f>
        <v/>
      </c>
      <c r="H36" s="67">
        <f>Measurement!I33</f>
        <v/>
      </c>
      <c r="I36" s="32">
        <f>Measurement!G33</f>
        <v/>
      </c>
      <c r="J36" s="42">
        <f>IF(B36="PRE",IF(Parameters!$B$21=0,0,I36/Parameters!$B$21),IF(B36="PRO",IF(Parameters!$C$21=0,0,I36/Parameters!$C$21),IF(Parameters!$D$21=0,0,I36/Parameters!$D$21)))</f>
        <v/>
      </c>
      <c r="K36" s="32">
        <f>Measurement!H33</f>
        <v/>
      </c>
      <c r="L36" s="42">
        <f>IF(B36="PRE",IF(Parameters!$B$22=0,0,K36/Parameters!$B$22),IF(B36="PRO",IF(Parameters!$C$22=0,0,K36/Parameters!$C$22),IF(Parameters!$D$22=0,0,K36/Parameters!$D$22)))</f>
        <v/>
      </c>
      <c r="M36" s="43">
        <f>IF(B36="PRE",J36*Parameters!$B$11,IF(B36="PRO",J36*Parameters!$C$11,J36*Parameters!$E$11))</f>
        <v/>
      </c>
      <c r="N36" s="43">
        <f>IF(B36="PRE",L36*Parameters!$B$12,IF(B36="PRO",L36*Parameters!$C$12,L36*Parameters!$E$12))</f>
        <v/>
      </c>
      <c r="O36" s="45">
        <f>(M36+N36)*Parameters!$B$5</f>
        <v/>
      </c>
      <c r="P36" s="45">
        <f>IF(B36="PRE",L36*Parameters!$B$23,IF(B36="PRO",L36*Parameters!$C$23,IF(Parameters!$D$22=0,J36*Parameters!$D$23,L36*Parameters!$D$23)))</f>
        <v/>
      </c>
      <c r="Q36" s="45">
        <f>O36+P36</f>
        <v/>
      </c>
      <c r="R36" s="45">
        <f>IF(OR(B36="PRE",B36="PRO"),Q36*$B$3,0)</f>
        <v/>
      </c>
      <c r="S36" s="45">
        <f>Q36+R36</f>
        <v/>
      </c>
    </row>
    <row r="37">
      <c r="A37">
        <f>Measurement!A34</f>
        <v/>
      </c>
      <c r="B37">
        <f>Measurement!B34</f>
        <v/>
      </c>
      <c r="C37">
        <f>Measurement!C34</f>
        <v/>
      </c>
      <c r="D37" s="43">
        <f>Measurement!D34</f>
        <v/>
      </c>
      <c r="E37" s="43">
        <f>Measurement!J34</f>
        <v/>
      </c>
      <c r="F37" s="43">
        <f>Measurement!E34</f>
        <v/>
      </c>
      <c r="G37" s="67">
        <f>Measurement!F34</f>
        <v/>
      </c>
      <c r="H37" s="67">
        <f>Measurement!I34</f>
        <v/>
      </c>
      <c r="I37" s="32">
        <f>Measurement!G34</f>
        <v/>
      </c>
      <c r="J37" s="42">
        <f>IF(B37="PRE",IF(Parameters!$B$21=0,0,I37/Parameters!$B$21),IF(B37="PRO",IF(Parameters!$C$21=0,0,I37/Parameters!$C$21),IF(Parameters!$D$21=0,0,I37/Parameters!$D$21)))</f>
        <v/>
      </c>
      <c r="K37" s="32">
        <f>Measurement!H34</f>
        <v/>
      </c>
      <c r="L37" s="42">
        <f>IF(B37="PRE",IF(Parameters!$B$22=0,0,K37/Parameters!$B$22),IF(B37="PRO",IF(Parameters!$C$22=0,0,K37/Parameters!$C$22),IF(Parameters!$D$22=0,0,K37/Parameters!$D$22)))</f>
        <v/>
      </c>
      <c r="M37" s="43">
        <f>IF(B37="PRE",J37*Parameters!$B$11,IF(B37="PRO",J37*Parameters!$C$11,J37*Parameters!$E$11))</f>
        <v/>
      </c>
      <c r="N37" s="43">
        <f>IF(B37="PRE",L37*Parameters!$B$12,IF(B37="PRO",L37*Parameters!$C$12,L37*Parameters!$E$12))</f>
        <v/>
      </c>
      <c r="O37" s="45">
        <f>(M37+N37)*Parameters!$B$5</f>
        <v/>
      </c>
      <c r="P37" s="45">
        <f>IF(B37="PRE",L37*Parameters!$B$23,IF(B37="PRO",L37*Parameters!$C$23,IF(Parameters!$D$22=0,J37*Parameters!$D$23,L37*Parameters!$D$23)))</f>
        <v/>
      </c>
      <c r="Q37" s="45">
        <f>O37+P37</f>
        <v/>
      </c>
      <c r="R37" s="45">
        <f>IF(OR(B37="PRE",B37="PRO"),Q37*$B$3,0)</f>
        <v/>
      </c>
      <c r="S37" s="45">
        <f>Q37+R37</f>
        <v/>
      </c>
    </row>
    <row r="38">
      <c r="A38">
        <f>Measurement!A35</f>
        <v/>
      </c>
      <c r="B38">
        <f>Measurement!B35</f>
        <v/>
      </c>
      <c r="C38">
        <f>Measurement!C35</f>
        <v/>
      </c>
      <c r="D38" s="43">
        <f>Measurement!D35</f>
        <v/>
      </c>
      <c r="E38" s="43">
        <f>Measurement!J35</f>
        <v/>
      </c>
      <c r="F38" s="43">
        <f>Measurement!E35</f>
        <v/>
      </c>
      <c r="G38" s="67">
        <f>Measurement!F35</f>
        <v/>
      </c>
      <c r="H38" s="67">
        <f>Measurement!I35</f>
        <v/>
      </c>
      <c r="I38" s="32">
        <f>Measurement!G35</f>
        <v/>
      </c>
      <c r="J38" s="42">
        <f>IF(B38="PRE",IF(Parameters!$B$21=0,0,I38/Parameters!$B$21),IF(B38="PRO",IF(Parameters!$C$21=0,0,I38/Parameters!$C$21),IF(Parameters!$D$21=0,0,I38/Parameters!$D$21)))</f>
        <v/>
      </c>
      <c r="K38" s="32">
        <f>Measurement!H35</f>
        <v/>
      </c>
      <c r="L38" s="42">
        <f>IF(B38="PRE",IF(Parameters!$B$22=0,0,K38/Parameters!$B$22),IF(B38="PRO",IF(Parameters!$C$22=0,0,K38/Parameters!$C$22),IF(Parameters!$D$22=0,0,K38/Parameters!$D$22)))</f>
        <v/>
      </c>
      <c r="M38" s="43">
        <f>IF(B38="PRE",J38*Parameters!$B$11,IF(B38="PRO",J38*Parameters!$C$11,J38*Parameters!$E$11))</f>
        <v/>
      </c>
      <c r="N38" s="43">
        <f>IF(B38="PRE",L38*Parameters!$B$12,IF(B38="PRO",L38*Parameters!$C$12,L38*Parameters!$E$12))</f>
        <v/>
      </c>
      <c r="O38" s="45">
        <f>(M38+N38)*Parameters!$B$5</f>
        <v/>
      </c>
      <c r="P38" s="45">
        <f>IF(B38="PRE",L38*Parameters!$B$23,IF(B38="PRO",L38*Parameters!$C$23,IF(Parameters!$D$22=0,J38*Parameters!$D$23,L38*Parameters!$D$23)))</f>
        <v/>
      </c>
      <c r="Q38" s="45">
        <f>O38+P38</f>
        <v/>
      </c>
      <c r="R38" s="45">
        <f>IF(OR(B38="PRE",B38="PRO"),Q38*$B$3,0)</f>
        <v/>
      </c>
      <c r="S38" s="45">
        <f>Q38+R38</f>
        <v/>
      </c>
    </row>
    <row r="39">
      <c r="A39">
        <f>Measurement!A36</f>
        <v/>
      </c>
      <c r="B39">
        <f>Measurement!B36</f>
        <v/>
      </c>
      <c r="C39">
        <f>Measurement!C36</f>
        <v/>
      </c>
      <c r="D39" s="43">
        <f>Measurement!D36</f>
        <v/>
      </c>
      <c r="E39" s="43">
        <f>Measurement!J36</f>
        <v/>
      </c>
      <c r="F39" s="43">
        <f>Measurement!E36</f>
        <v/>
      </c>
      <c r="G39" s="67">
        <f>Measurement!F36</f>
        <v/>
      </c>
      <c r="H39" s="67">
        <f>Measurement!I36</f>
        <v/>
      </c>
      <c r="I39" s="32">
        <f>Measurement!G36</f>
        <v/>
      </c>
      <c r="J39" s="42">
        <f>IF(B39="PRE",IF(Parameters!$B$21=0,0,I39/Parameters!$B$21),IF(B39="PRO",IF(Parameters!$C$21=0,0,I39/Parameters!$C$21),IF(Parameters!$D$21=0,0,I39/Parameters!$D$21)))</f>
        <v/>
      </c>
      <c r="K39" s="32">
        <f>Measurement!H36</f>
        <v/>
      </c>
      <c r="L39" s="42">
        <f>IF(B39="PRE",IF(Parameters!$B$22=0,0,K39/Parameters!$B$22),IF(B39="PRO",IF(Parameters!$C$22=0,0,K39/Parameters!$C$22),IF(Parameters!$D$22=0,0,K39/Parameters!$D$22)))</f>
        <v/>
      </c>
      <c r="M39" s="43">
        <f>IF(B39="PRE",J39*Parameters!$B$11,IF(B39="PRO",J39*Parameters!$C$11,J39*Parameters!$E$11))</f>
        <v/>
      </c>
      <c r="N39" s="43">
        <f>IF(B39="PRE",L39*Parameters!$B$12,IF(B39="PRO",L39*Parameters!$C$12,L39*Parameters!$E$12))</f>
        <v/>
      </c>
      <c r="O39" s="45">
        <f>(M39+N39)*Parameters!$B$5</f>
        <v/>
      </c>
      <c r="P39" s="45">
        <f>IF(B39="PRE",L39*Parameters!$B$23,IF(B39="PRO",L39*Parameters!$C$23,IF(Parameters!$D$22=0,J39*Parameters!$D$23,L39*Parameters!$D$23)))</f>
        <v/>
      </c>
      <c r="Q39" s="45">
        <f>O39+P39</f>
        <v/>
      </c>
      <c r="R39" s="45">
        <f>IF(OR(B39="PRE",B39="PRO"),Q39*$B$3,0)</f>
        <v/>
      </c>
      <c r="S39" s="45">
        <f>Q39+R39</f>
        <v/>
      </c>
    </row>
    <row r="40">
      <c r="A40">
        <f>Measurement!A37</f>
        <v/>
      </c>
      <c r="B40">
        <f>Measurement!B37</f>
        <v/>
      </c>
      <c r="C40">
        <f>Measurement!C37</f>
        <v/>
      </c>
      <c r="D40" s="43">
        <f>Measurement!D37</f>
        <v/>
      </c>
      <c r="E40" s="43">
        <f>Measurement!J37</f>
        <v/>
      </c>
      <c r="F40" s="43">
        <f>Measurement!E37</f>
        <v/>
      </c>
      <c r="G40" s="67">
        <f>Measurement!F37</f>
        <v/>
      </c>
      <c r="H40" s="67">
        <f>Measurement!I37</f>
        <v/>
      </c>
      <c r="I40" s="32">
        <f>Measurement!G37</f>
        <v/>
      </c>
      <c r="J40" s="42">
        <f>IF(B40="PRE",IF(Parameters!$B$21=0,0,I40/Parameters!$B$21),IF(B40="PRO",IF(Parameters!$C$21=0,0,I40/Parameters!$C$21),IF(Parameters!$D$21=0,0,I40/Parameters!$D$21)))</f>
        <v/>
      </c>
      <c r="K40" s="32">
        <f>Measurement!H37</f>
        <v/>
      </c>
      <c r="L40" s="42">
        <f>IF(B40="PRE",IF(Parameters!$B$22=0,0,K40/Parameters!$B$22),IF(B40="PRO",IF(Parameters!$C$22=0,0,K40/Parameters!$C$22),IF(Parameters!$D$22=0,0,K40/Parameters!$D$22)))</f>
        <v/>
      </c>
      <c r="M40" s="43">
        <f>IF(B40="PRE",J40*Parameters!$B$11,IF(B40="PRO",J40*Parameters!$C$11,J40*Parameters!$E$11))</f>
        <v/>
      </c>
      <c r="N40" s="43">
        <f>IF(B40="PRE",L40*Parameters!$B$12,IF(B40="PRO",L40*Parameters!$C$12,L40*Parameters!$E$12))</f>
        <v/>
      </c>
      <c r="O40" s="45">
        <f>(M40+N40)*Parameters!$B$5</f>
        <v/>
      </c>
      <c r="P40" s="45">
        <f>IF(B40="PRE",L40*Parameters!$B$23,IF(B40="PRO",L40*Parameters!$C$23,IF(Parameters!$D$22=0,J40*Parameters!$D$23,L40*Parameters!$D$23)))</f>
        <v/>
      </c>
      <c r="Q40" s="45">
        <f>O40+P40</f>
        <v/>
      </c>
      <c r="R40" s="45">
        <f>IF(OR(B40="PRE",B40="PRO"),Q40*$B$3,0)</f>
        <v/>
      </c>
      <c r="S40" s="45">
        <f>Q40+R40</f>
        <v/>
      </c>
    </row>
    <row r="41">
      <c r="A41">
        <f>Measurement!A38</f>
        <v/>
      </c>
      <c r="B41">
        <f>Measurement!B38</f>
        <v/>
      </c>
      <c r="C41">
        <f>Measurement!C38</f>
        <v/>
      </c>
      <c r="D41" s="43">
        <f>Measurement!D38</f>
        <v/>
      </c>
      <c r="E41" s="43">
        <f>Measurement!J38</f>
        <v/>
      </c>
      <c r="F41" s="43">
        <f>Measurement!E38</f>
        <v/>
      </c>
      <c r="G41" s="67">
        <f>Measurement!F38</f>
        <v/>
      </c>
      <c r="H41" s="67">
        <f>Measurement!I38</f>
        <v/>
      </c>
      <c r="I41" s="32">
        <f>Measurement!G38</f>
        <v/>
      </c>
      <c r="J41" s="42">
        <f>IF(B41="PRE",IF(Parameters!$B$21=0,0,I41/Parameters!$B$21),IF(B41="PRO",IF(Parameters!$C$21=0,0,I41/Parameters!$C$21),IF(Parameters!$D$21=0,0,I41/Parameters!$D$21)))</f>
        <v/>
      </c>
      <c r="K41" s="32">
        <f>Measurement!H38</f>
        <v/>
      </c>
      <c r="L41" s="42">
        <f>IF(B41="PRE",IF(Parameters!$B$22=0,0,K41/Parameters!$B$22),IF(B41="PRO",IF(Parameters!$C$22=0,0,K41/Parameters!$C$22),IF(Parameters!$D$22=0,0,K41/Parameters!$D$22)))</f>
        <v/>
      </c>
      <c r="M41" s="43">
        <f>IF(B41="PRE",J41*Parameters!$B$11,IF(B41="PRO",J41*Parameters!$C$11,J41*Parameters!$E$11))</f>
        <v/>
      </c>
      <c r="N41" s="43">
        <f>IF(B41="PRE",L41*Parameters!$B$12,IF(B41="PRO",L41*Parameters!$C$12,L41*Parameters!$E$12))</f>
        <v/>
      </c>
      <c r="O41" s="45">
        <f>(M41+N41)*Parameters!$B$5</f>
        <v/>
      </c>
      <c r="P41" s="45">
        <f>IF(B41="PRE",L41*Parameters!$B$23,IF(B41="PRO",L41*Parameters!$C$23,IF(Parameters!$D$22=0,J41*Parameters!$D$23,L41*Parameters!$D$23)))</f>
        <v/>
      </c>
      <c r="Q41" s="45">
        <f>O41+P41</f>
        <v/>
      </c>
      <c r="R41" s="45">
        <f>IF(OR(B41="PRE",B41="PRO"),Q41*$B$3,0)</f>
        <v/>
      </c>
      <c r="S41" s="45">
        <f>Q41+R41</f>
        <v/>
      </c>
    </row>
    <row r="42">
      <c r="A42">
        <f>Measurement!A39</f>
        <v/>
      </c>
      <c r="B42">
        <f>Measurement!B39</f>
        <v/>
      </c>
      <c r="C42">
        <f>Measurement!C39</f>
        <v/>
      </c>
      <c r="D42" s="43">
        <f>Measurement!D39</f>
        <v/>
      </c>
      <c r="E42" s="43">
        <f>Measurement!J39</f>
        <v/>
      </c>
      <c r="F42" s="43">
        <f>Measurement!E39</f>
        <v/>
      </c>
      <c r="G42" s="67">
        <f>Measurement!F39</f>
        <v/>
      </c>
      <c r="H42" s="67">
        <f>Measurement!I39</f>
        <v/>
      </c>
      <c r="I42" s="32">
        <f>Measurement!G39</f>
        <v/>
      </c>
      <c r="J42" s="42">
        <f>IF(B42="PRE",IF(Parameters!$B$21=0,0,I42/Parameters!$B$21),IF(B42="PRO",IF(Parameters!$C$21=0,0,I42/Parameters!$C$21),IF(Parameters!$D$21=0,0,I42/Parameters!$D$21)))</f>
        <v/>
      </c>
      <c r="K42" s="32">
        <f>Measurement!H39</f>
        <v/>
      </c>
      <c r="L42" s="42">
        <f>IF(B42="PRE",IF(Parameters!$B$22=0,0,K42/Parameters!$B$22),IF(B42="PRO",IF(Parameters!$C$22=0,0,K42/Parameters!$C$22),IF(Parameters!$D$22=0,0,K42/Parameters!$D$22)))</f>
        <v/>
      </c>
      <c r="M42" s="43">
        <f>IF(B42="PRE",J42*Parameters!$B$11,IF(B42="PRO",J42*Parameters!$C$11,J42*Parameters!$E$11))</f>
        <v/>
      </c>
      <c r="N42" s="43">
        <f>IF(B42="PRE",L42*Parameters!$B$12,IF(B42="PRO",L42*Parameters!$C$12,L42*Parameters!$E$12))</f>
        <v/>
      </c>
      <c r="O42" s="45">
        <f>(M42+N42)*Parameters!$B$5</f>
        <v/>
      </c>
      <c r="P42" s="45">
        <f>IF(B42="PRE",L42*Parameters!$B$23,IF(B42="PRO",L42*Parameters!$C$23,IF(Parameters!$D$22=0,J42*Parameters!$D$23,L42*Parameters!$D$23)))</f>
        <v/>
      </c>
      <c r="Q42" s="45">
        <f>O42+P42</f>
        <v/>
      </c>
      <c r="R42" s="45">
        <f>IF(OR(B42="PRE",B42="PRO"),Q42*$B$3,0)</f>
        <v/>
      </c>
      <c r="S42" s="45">
        <f>Q42+R42</f>
        <v/>
      </c>
    </row>
    <row r="43">
      <c r="A43">
        <f>Measurement!A40</f>
        <v/>
      </c>
      <c r="B43">
        <f>Measurement!B40</f>
        <v/>
      </c>
      <c r="C43">
        <f>Measurement!C40</f>
        <v/>
      </c>
      <c r="D43" s="43">
        <f>Measurement!D40</f>
        <v/>
      </c>
      <c r="E43" s="43">
        <f>Measurement!J40</f>
        <v/>
      </c>
      <c r="F43" s="43">
        <f>Measurement!E40</f>
        <v/>
      </c>
      <c r="G43" s="67">
        <f>Measurement!F40</f>
        <v/>
      </c>
      <c r="H43" s="67">
        <f>Measurement!I40</f>
        <v/>
      </c>
      <c r="I43" s="32">
        <f>Measurement!G40</f>
        <v/>
      </c>
      <c r="J43" s="42">
        <f>IF(B43="PRE",IF(Parameters!$B$21=0,0,I43/Parameters!$B$21),IF(B43="PRO",IF(Parameters!$C$21=0,0,I43/Parameters!$C$21),IF(Parameters!$D$21=0,0,I43/Parameters!$D$21)))</f>
        <v/>
      </c>
      <c r="K43" s="32">
        <f>Measurement!H40</f>
        <v/>
      </c>
      <c r="L43" s="42">
        <f>IF(B43="PRE",IF(Parameters!$B$22=0,0,K43/Parameters!$B$22),IF(B43="PRO",IF(Parameters!$C$22=0,0,K43/Parameters!$C$22),IF(Parameters!$D$22=0,0,K43/Parameters!$D$22)))</f>
        <v/>
      </c>
      <c r="M43" s="43">
        <f>IF(B43="PRE",J43*Parameters!$B$11,IF(B43="PRO",J43*Parameters!$C$11,J43*Parameters!$E$11))</f>
        <v/>
      </c>
      <c r="N43" s="43">
        <f>IF(B43="PRE",L43*Parameters!$B$12,IF(B43="PRO",L43*Parameters!$C$12,L43*Parameters!$E$12))</f>
        <v/>
      </c>
      <c r="O43" s="45">
        <f>(M43+N43)*Parameters!$B$5</f>
        <v/>
      </c>
      <c r="P43" s="45">
        <f>IF(B43="PRE",L43*Parameters!$B$23,IF(B43="PRO",L43*Parameters!$C$23,IF(Parameters!$D$22=0,J43*Parameters!$D$23,L43*Parameters!$D$23)))</f>
        <v/>
      </c>
      <c r="Q43" s="45">
        <f>O43+P43</f>
        <v/>
      </c>
      <c r="R43" s="45">
        <f>IF(OR(B43="PRE",B43="PRO"),Q43*$B$3,0)</f>
        <v/>
      </c>
      <c r="S43" s="45">
        <f>Q43+R43</f>
        <v/>
      </c>
    </row>
    <row r="44">
      <c r="A44">
        <f>Measurement!A41</f>
        <v/>
      </c>
      <c r="B44">
        <f>Measurement!B41</f>
        <v/>
      </c>
      <c r="C44">
        <f>Measurement!C41</f>
        <v/>
      </c>
      <c r="D44" s="43">
        <f>Measurement!D41</f>
        <v/>
      </c>
      <c r="E44" s="43">
        <f>Measurement!J41</f>
        <v/>
      </c>
      <c r="F44" s="43">
        <f>Measurement!E41</f>
        <v/>
      </c>
      <c r="G44" s="67">
        <f>Measurement!F41</f>
        <v/>
      </c>
      <c r="H44" s="67">
        <f>Measurement!I41</f>
        <v/>
      </c>
      <c r="I44" s="32">
        <f>Measurement!G41</f>
        <v/>
      </c>
      <c r="J44" s="42">
        <f>IF(B44="PRE",IF(Parameters!$B$21=0,0,I44/Parameters!$B$21),IF(B44="PRO",IF(Parameters!$C$21=0,0,I44/Parameters!$C$21),IF(Parameters!$D$21=0,0,I44/Parameters!$D$21)))</f>
        <v/>
      </c>
      <c r="K44" s="32">
        <f>Measurement!H41</f>
        <v/>
      </c>
      <c r="L44" s="42">
        <f>IF(B44="PRE",IF(Parameters!$B$22=0,0,K44/Parameters!$B$22),IF(B44="PRO",IF(Parameters!$C$22=0,0,K44/Parameters!$C$22),IF(Parameters!$D$22=0,0,K44/Parameters!$D$22)))</f>
        <v/>
      </c>
      <c r="M44" s="43">
        <f>IF(B44="PRE",J44*Parameters!$B$11,IF(B44="PRO",J44*Parameters!$C$11,J44*Parameters!$E$11))</f>
        <v/>
      </c>
      <c r="N44" s="43">
        <f>IF(B44="PRE",L44*Parameters!$B$12,IF(B44="PRO",L44*Parameters!$C$12,L44*Parameters!$E$12))</f>
        <v/>
      </c>
      <c r="O44" s="45">
        <f>(M44+N44)*Parameters!$B$5</f>
        <v/>
      </c>
      <c r="P44" s="45">
        <f>IF(B44="PRE",L44*Parameters!$B$23,IF(B44="PRO",L44*Parameters!$C$23,IF(Parameters!$D$22=0,J44*Parameters!$D$23,L44*Parameters!$D$23)))</f>
        <v/>
      </c>
      <c r="Q44" s="45">
        <f>O44+P44</f>
        <v/>
      </c>
      <c r="R44" s="45">
        <f>IF(OR(B44="PRE",B44="PRO"),Q44*$B$3,0)</f>
        <v/>
      </c>
      <c r="S44" s="45">
        <f>Q44+R44</f>
        <v/>
      </c>
    </row>
    <row r="45">
      <c r="A45">
        <f>Measurement!A42</f>
        <v/>
      </c>
      <c r="B45">
        <f>Measurement!B42</f>
        <v/>
      </c>
      <c r="C45">
        <f>Measurement!C42</f>
        <v/>
      </c>
      <c r="D45" s="43">
        <f>Measurement!D42</f>
        <v/>
      </c>
      <c r="E45" s="43">
        <f>Measurement!J42</f>
        <v/>
      </c>
      <c r="F45" s="43">
        <f>Measurement!E42</f>
        <v/>
      </c>
      <c r="G45" s="67">
        <f>Measurement!F42</f>
        <v/>
      </c>
      <c r="H45" s="67">
        <f>Measurement!I42</f>
        <v/>
      </c>
      <c r="I45" s="32">
        <f>Measurement!G42</f>
        <v/>
      </c>
      <c r="J45" s="42">
        <f>IF(B45="PRE",IF(Parameters!$B$21=0,0,I45/Parameters!$B$21),IF(B45="PRO",IF(Parameters!$C$21=0,0,I45/Parameters!$C$21),IF(Parameters!$D$21=0,0,I45/Parameters!$D$21)))</f>
        <v/>
      </c>
      <c r="K45" s="32">
        <f>Measurement!H42</f>
        <v/>
      </c>
      <c r="L45" s="42">
        <f>IF(B45="PRE",IF(Parameters!$B$22=0,0,K45/Parameters!$B$22),IF(B45="PRO",IF(Parameters!$C$22=0,0,K45/Parameters!$C$22),IF(Parameters!$D$22=0,0,K45/Parameters!$D$22)))</f>
        <v/>
      </c>
      <c r="M45" s="43">
        <f>IF(B45="PRE",J45*Parameters!$B$11,IF(B45="PRO",J45*Parameters!$C$11,J45*Parameters!$E$11))</f>
        <v/>
      </c>
      <c r="N45" s="43">
        <f>IF(B45="PRE",L45*Parameters!$B$12,IF(B45="PRO",L45*Parameters!$C$12,L45*Parameters!$E$12))</f>
        <v/>
      </c>
      <c r="O45" s="45">
        <f>(M45+N45)*Parameters!$B$5</f>
        <v/>
      </c>
      <c r="P45" s="45">
        <f>IF(B45="PRE",L45*Parameters!$B$23,IF(B45="PRO",L45*Parameters!$C$23,IF(Parameters!$D$22=0,J45*Parameters!$D$23,L45*Parameters!$D$23)))</f>
        <v/>
      </c>
      <c r="Q45" s="45">
        <f>O45+P45</f>
        <v/>
      </c>
      <c r="R45" s="45">
        <f>IF(OR(B45="PRE",B45="PRO"),Q45*$B$3,0)</f>
        <v/>
      </c>
      <c r="S45" s="45">
        <f>Q45+R45</f>
        <v/>
      </c>
    </row>
    <row r="46">
      <c r="A46">
        <f>Measurement!A43</f>
        <v/>
      </c>
      <c r="B46">
        <f>Measurement!B43</f>
        <v/>
      </c>
      <c r="C46">
        <f>Measurement!C43</f>
        <v/>
      </c>
      <c r="D46" s="43">
        <f>Measurement!D43</f>
        <v/>
      </c>
      <c r="E46" s="43">
        <f>Measurement!J43</f>
        <v/>
      </c>
      <c r="F46" s="43">
        <f>Measurement!E43</f>
        <v/>
      </c>
      <c r="G46" s="67">
        <f>Measurement!F43</f>
        <v/>
      </c>
      <c r="H46" s="67">
        <f>Measurement!I43</f>
        <v/>
      </c>
      <c r="I46" s="32">
        <f>Measurement!G43</f>
        <v/>
      </c>
      <c r="J46" s="42">
        <f>IF(B46="PRE",IF(Parameters!$B$21=0,0,I46/Parameters!$B$21),IF(B46="PRO",IF(Parameters!$C$21=0,0,I46/Parameters!$C$21),IF(Parameters!$D$21=0,0,I46/Parameters!$D$21)))</f>
        <v/>
      </c>
      <c r="K46" s="32">
        <f>Measurement!H43</f>
        <v/>
      </c>
      <c r="L46" s="42">
        <f>IF(B46="PRE",IF(Parameters!$B$22=0,0,K46/Parameters!$B$22),IF(B46="PRO",IF(Parameters!$C$22=0,0,K46/Parameters!$C$22),IF(Parameters!$D$22=0,0,K46/Parameters!$D$22)))</f>
        <v/>
      </c>
      <c r="M46" s="43">
        <f>IF(B46="PRE",J46*Parameters!$B$11,IF(B46="PRO",J46*Parameters!$C$11,J46*Parameters!$E$11))</f>
        <v/>
      </c>
      <c r="N46" s="43">
        <f>IF(B46="PRE",L46*Parameters!$B$12,IF(B46="PRO",L46*Parameters!$C$12,L46*Parameters!$E$12))</f>
        <v/>
      </c>
      <c r="O46" s="45">
        <f>(M46+N46)*Parameters!$B$5</f>
        <v/>
      </c>
      <c r="P46" s="45">
        <f>IF(B46="PRE",L46*Parameters!$B$23,IF(B46="PRO",L46*Parameters!$C$23,IF(Parameters!$D$22=0,J46*Parameters!$D$23,L46*Parameters!$D$23)))</f>
        <v/>
      </c>
      <c r="Q46" s="45">
        <f>O46+P46</f>
        <v/>
      </c>
      <c r="R46" s="45">
        <f>IF(OR(B46="PRE",B46="PRO"),Q46*$B$3,0)</f>
        <v/>
      </c>
      <c r="S46" s="45">
        <f>Q46+R46</f>
        <v/>
      </c>
    </row>
    <row r="47">
      <c r="A47">
        <f>Measurement!A44</f>
        <v/>
      </c>
      <c r="B47">
        <f>Measurement!B44</f>
        <v/>
      </c>
      <c r="C47">
        <f>Measurement!C44</f>
        <v/>
      </c>
      <c r="D47" s="43">
        <f>Measurement!D44</f>
        <v/>
      </c>
      <c r="E47" s="43">
        <f>Measurement!J44</f>
        <v/>
      </c>
      <c r="F47" s="43">
        <f>Measurement!E44</f>
        <v/>
      </c>
      <c r="G47" s="67">
        <f>Measurement!F44</f>
        <v/>
      </c>
      <c r="H47" s="67">
        <f>Measurement!I44</f>
        <v/>
      </c>
      <c r="I47" s="32">
        <f>Measurement!G44</f>
        <v/>
      </c>
      <c r="J47" s="42">
        <f>IF(B47="PRE",IF(Parameters!$B$21=0,0,I47/Parameters!$B$21),IF(B47="PRO",IF(Parameters!$C$21=0,0,I47/Parameters!$C$21),IF(Parameters!$D$21=0,0,I47/Parameters!$D$21)))</f>
        <v/>
      </c>
      <c r="K47" s="32">
        <f>Measurement!H44</f>
        <v/>
      </c>
      <c r="L47" s="42">
        <f>IF(B47="PRE",IF(Parameters!$B$22=0,0,K47/Parameters!$B$22),IF(B47="PRO",IF(Parameters!$C$22=0,0,K47/Parameters!$C$22),IF(Parameters!$D$22=0,0,K47/Parameters!$D$22)))</f>
        <v/>
      </c>
      <c r="M47" s="43">
        <f>IF(B47="PRE",J47*Parameters!$B$11,IF(B47="PRO",J47*Parameters!$C$11,J47*Parameters!$E$11))</f>
        <v/>
      </c>
      <c r="N47" s="43">
        <f>IF(B47="PRE",L47*Parameters!$B$12,IF(B47="PRO",L47*Parameters!$C$12,L47*Parameters!$E$12))</f>
        <v/>
      </c>
      <c r="O47" s="45">
        <f>(M47+N47)*Parameters!$B$5</f>
        <v/>
      </c>
      <c r="P47" s="45">
        <f>IF(B47="PRE",L47*Parameters!$B$23,IF(B47="PRO",L47*Parameters!$C$23,IF(Parameters!$D$22=0,J47*Parameters!$D$23,L47*Parameters!$D$23)))</f>
        <v/>
      </c>
      <c r="Q47" s="45">
        <f>O47+P47</f>
        <v/>
      </c>
      <c r="R47" s="45">
        <f>IF(OR(B47="PRE",B47="PRO"),Q47*$B$3,0)</f>
        <v/>
      </c>
      <c r="S47" s="45">
        <f>Q47+R47</f>
        <v/>
      </c>
    </row>
    <row r="48">
      <c r="A48">
        <f>Measurement!A45</f>
        <v/>
      </c>
      <c r="B48">
        <f>Measurement!B45</f>
        <v/>
      </c>
      <c r="C48">
        <f>Measurement!C45</f>
        <v/>
      </c>
      <c r="D48" s="43">
        <f>Measurement!D45</f>
        <v/>
      </c>
      <c r="E48" s="43">
        <f>Measurement!J45</f>
        <v/>
      </c>
      <c r="F48" s="43">
        <f>Measurement!E45</f>
        <v/>
      </c>
      <c r="G48" s="67">
        <f>Measurement!F45</f>
        <v/>
      </c>
      <c r="H48" s="67">
        <f>Measurement!I45</f>
        <v/>
      </c>
      <c r="I48" s="32">
        <f>Measurement!G45</f>
        <v/>
      </c>
      <c r="J48" s="42">
        <f>IF(B48="PRE",IF(Parameters!$B$21=0,0,I48/Parameters!$B$21),IF(B48="PRO",IF(Parameters!$C$21=0,0,I48/Parameters!$C$21),IF(Parameters!$D$21=0,0,I48/Parameters!$D$21)))</f>
        <v/>
      </c>
      <c r="K48" s="32">
        <f>Measurement!H45</f>
        <v/>
      </c>
      <c r="L48" s="42">
        <f>IF(B48="PRE",IF(Parameters!$B$22=0,0,K48/Parameters!$B$22),IF(B48="PRO",IF(Parameters!$C$22=0,0,K48/Parameters!$C$22),IF(Parameters!$D$22=0,0,K48/Parameters!$D$22)))</f>
        <v/>
      </c>
      <c r="M48" s="43">
        <f>IF(B48="PRE",J48*Parameters!$B$11,IF(B48="PRO",J48*Parameters!$C$11,J48*Parameters!$E$11))</f>
        <v/>
      </c>
      <c r="N48" s="43">
        <f>IF(B48="PRE",L48*Parameters!$B$12,IF(B48="PRO",L48*Parameters!$C$12,L48*Parameters!$E$12))</f>
        <v/>
      </c>
      <c r="O48" s="45">
        <f>(M48+N48)*Parameters!$B$5</f>
        <v/>
      </c>
      <c r="P48" s="45">
        <f>IF(B48="PRE",L48*Parameters!$B$23,IF(B48="PRO",L48*Parameters!$C$23,IF(Parameters!$D$22=0,J48*Parameters!$D$23,L48*Parameters!$D$23)))</f>
        <v/>
      </c>
      <c r="Q48" s="45">
        <f>O48+P48</f>
        <v/>
      </c>
      <c r="R48" s="45">
        <f>IF(OR(B48="PRE",B48="PRO"),Q48*$B$3,0)</f>
        <v/>
      </c>
      <c r="S48" s="45">
        <f>Q48+R48</f>
        <v/>
      </c>
    </row>
    <row r="49">
      <c r="A49">
        <f>Measurement!A46</f>
        <v/>
      </c>
      <c r="B49">
        <f>Measurement!B46</f>
        <v/>
      </c>
      <c r="C49">
        <f>Measurement!C46</f>
        <v/>
      </c>
      <c r="D49" s="43">
        <f>Measurement!D46</f>
        <v/>
      </c>
      <c r="E49" s="43">
        <f>Measurement!J46</f>
        <v/>
      </c>
      <c r="F49" s="43">
        <f>Measurement!E46</f>
        <v/>
      </c>
      <c r="G49" s="67">
        <f>Measurement!F46</f>
        <v/>
      </c>
      <c r="H49" s="67">
        <f>Measurement!I46</f>
        <v/>
      </c>
      <c r="I49" s="32">
        <f>Measurement!G46</f>
        <v/>
      </c>
      <c r="J49" s="42">
        <f>IF(B49="PRE",IF(Parameters!$B$21=0,0,I49/Parameters!$B$21),IF(B49="PRO",IF(Parameters!$C$21=0,0,I49/Parameters!$C$21),IF(Parameters!$D$21=0,0,I49/Parameters!$D$21)))</f>
        <v/>
      </c>
      <c r="K49" s="32">
        <f>Measurement!H46</f>
        <v/>
      </c>
      <c r="L49" s="42">
        <f>IF(B49="PRE",IF(Parameters!$B$22=0,0,K49/Parameters!$B$22),IF(B49="PRO",IF(Parameters!$C$22=0,0,K49/Parameters!$C$22),IF(Parameters!$D$22=0,0,K49/Parameters!$D$22)))</f>
        <v/>
      </c>
      <c r="M49" s="43">
        <f>IF(B49="PRE",J49*Parameters!$B$11,IF(B49="PRO",J49*Parameters!$C$11,J49*Parameters!$E$11))</f>
        <v/>
      </c>
      <c r="N49" s="43">
        <f>IF(B49="PRE",L49*Parameters!$B$12,IF(B49="PRO",L49*Parameters!$C$12,L49*Parameters!$E$12))</f>
        <v/>
      </c>
      <c r="O49" s="45">
        <f>(M49+N49)*Parameters!$B$5</f>
        <v/>
      </c>
      <c r="P49" s="45">
        <f>IF(B49="PRE",L49*Parameters!$B$23,IF(B49="PRO",L49*Parameters!$C$23,IF(Parameters!$D$22=0,J49*Parameters!$D$23,L49*Parameters!$D$23)))</f>
        <v/>
      </c>
      <c r="Q49" s="45">
        <f>O49+P49</f>
        <v/>
      </c>
      <c r="R49" s="45">
        <f>IF(OR(B49="PRE",B49="PRO"),Q49*$B$3,0)</f>
        <v/>
      </c>
      <c r="S49" s="45">
        <f>Q49+R49</f>
        <v/>
      </c>
    </row>
    <row r="50">
      <c r="A50">
        <f>Measurement!A47</f>
        <v/>
      </c>
      <c r="B50">
        <f>Measurement!B47</f>
        <v/>
      </c>
      <c r="C50">
        <f>Measurement!C47</f>
        <v/>
      </c>
      <c r="D50" s="43">
        <f>Measurement!D47</f>
        <v/>
      </c>
      <c r="E50" s="43">
        <f>Measurement!J47</f>
        <v/>
      </c>
      <c r="F50" s="43">
        <f>Measurement!E47</f>
        <v/>
      </c>
      <c r="G50" s="67">
        <f>Measurement!F47</f>
        <v/>
      </c>
      <c r="H50" s="67">
        <f>Measurement!I47</f>
        <v/>
      </c>
      <c r="I50" s="32">
        <f>Measurement!G47</f>
        <v/>
      </c>
      <c r="J50" s="42">
        <f>IF(B50="PRE",IF(Parameters!$B$21=0,0,I50/Parameters!$B$21),IF(B50="PRO",IF(Parameters!$C$21=0,0,I50/Parameters!$C$21),IF(Parameters!$D$21=0,0,I50/Parameters!$D$21)))</f>
        <v/>
      </c>
      <c r="K50" s="32">
        <f>Measurement!H47</f>
        <v/>
      </c>
      <c r="L50" s="42">
        <f>IF(B50="PRE",IF(Parameters!$B$22=0,0,K50/Parameters!$B$22),IF(B50="PRO",IF(Parameters!$C$22=0,0,K50/Parameters!$C$22),IF(Parameters!$D$22=0,0,K50/Parameters!$D$22)))</f>
        <v/>
      </c>
      <c r="M50" s="43">
        <f>IF(B50="PRE",J50*Parameters!$B$11,IF(B50="PRO",J50*Parameters!$C$11,J50*Parameters!$E$11))</f>
        <v/>
      </c>
      <c r="N50" s="43">
        <f>IF(B50="PRE",L50*Parameters!$B$12,IF(B50="PRO",L50*Parameters!$C$12,L50*Parameters!$E$12))</f>
        <v/>
      </c>
      <c r="O50" s="45">
        <f>(M50+N50)*Parameters!$B$5</f>
        <v/>
      </c>
      <c r="P50" s="45">
        <f>IF(B50="PRE",L50*Parameters!$B$23,IF(B50="PRO",L50*Parameters!$C$23,IF(Parameters!$D$22=0,J50*Parameters!$D$23,L50*Parameters!$D$23)))</f>
        <v/>
      </c>
      <c r="Q50" s="45">
        <f>O50+P50</f>
        <v/>
      </c>
      <c r="R50" s="45">
        <f>IF(OR(B50="PRE",B50="PRO"),Q50*$B$3,0)</f>
        <v/>
      </c>
      <c r="S50" s="45">
        <f>Q50+R50</f>
        <v/>
      </c>
    </row>
    <row r="51">
      <c r="A51">
        <f>Measurement!A48</f>
        <v/>
      </c>
      <c r="B51">
        <f>Measurement!B48</f>
        <v/>
      </c>
      <c r="C51">
        <f>Measurement!C48</f>
        <v/>
      </c>
      <c r="D51" s="43">
        <f>Measurement!D48</f>
        <v/>
      </c>
      <c r="E51" s="43">
        <f>Measurement!J48</f>
        <v/>
      </c>
      <c r="F51" s="43">
        <f>Measurement!E48</f>
        <v/>
      </c>
      <c r="G51" s="67">
        <f>Measurement!F48</f>
        <v/>
      </c>
      <c r="H51" s="67">
        <f>Measurement!I48</f>
        <v/>
      </c>
      <c r="I51" s="32">
        <f>Measurement!G48</f>
        <v/>
      </c>
      <c r="J51" s="42">
        <f>IF(B51="PRE",IF(Parameters!$B$21=0,0,I51/Parameters!$B$21),IF(B51="PRO",IF(Parameters!$C$21=0,0,I51/Parameters!$C$21),IF(Parameters!$D$21=0,0,I51/Parameters!$D$21)))</f>
        <v/>
      </c>
      <c r="K51" s="32">
        <f>Measurement!H48</f>
        <v/>
      </c>
      <c r="L51" s="42">
        <f>IF(B51="PRE",IF(Parameters!$B$22=0,0,K51/Parameters!$B$22),IF(B51="PRO",IF(Parameters!$C$22=0,0,K51/Parameters!$C$22),IF(Parameters!$D$22=0,0,K51/Parameters!$D$22)))</f>
        <v/>
      </c>
      <c r="M51" s="43">
        <f>IF(B51="PRE",J51*Parameters!$B$11,IF(B51="PRO",J51*Parameters!$C$11,J51*Parameters!$E$11))</f>
        <v/>
      </c>
      <c r="N51" s="43">
        <f>IF(B51="PRE",L51*Parameters!$B$12,IF(B51="PRO",L51*Parameters!$C$12,L51*Parameters!$E$12))</f>
        <v/>
      </c>
      <c r="O51" s="45">
        <f>(M51+N51)*Parameters!$B$5</f>
        <v/>
      </c>
      <c r="P51" s="45">
        <f>IF(B51="PRE",L51*Parameters!$B$23,IF(B51="PRO",L51*Parameters!$C$23,IF(Parameters!$D$22=0,J51*Parameters!$D$23,L51*Parameters!$D$23)))</f>
        <v/>
      </c>
      <c r="Q51" s="45">
        <f>O51+P51</f>
        <v/>
      </c>
      <c r="R51" s="45">
        <f>IF(OR(B51="PRE",B51="PRO"),Q51*$B$3,0)</f>
        <v/>
      </c>
      <c r="S51" s="45">
        <f>Q51+R51</f>
        <v/>
      </c>
    </row>
    <row r="52">
      <c r="A52">
        <f>Measurement!A49</f>
        <v/>
      </c>
      <c r="B52">
        <f>Measurement!B49</f>
        <v/>
      </c>
      <c r="C52">
        <f>Measurement!C49</f>
        <v/>
      </c>
      <c r="D52" s="43">
        <f>Measurement!D49</f>
        <v/>
      </c>
      <c r="E52" s="43">
        <f>Measurement!J49</f>
        <v/>
      </c>
      <c r="F52" s="43">
        <f>Measurement!E49</f>
        <v/>
      </c>
      <c r="G52" s="67">
        <f>Measurement!F49</f>
        <v/>
      </c>
      <c r="H52" s="67">
        <f>Measurement!I49</f>
        <v/>
      </c>
      <c r="I52" s="32">
        <f>Measurement!G49</f>
        <v/>
      </c>
      <c r="J52" s="42">
        <f>IF(B52="PRE",IF(Parameters!$B$21=0,0,I52/Parameters!$B$21),IF(B52="PRO",IF(Parameters!$C$21=0,0,I52/Parameters!$C$21),IF(Parameters!$D$21=0,0,I52/Parameters!$D$21)))</f>
        <v/>
      </c>
      <c r="K52" s="32">
        <f>Measurement!H49</f>
        <v/>
      </c>
      <c r="L52" s="42">
        <f>IF(B52="PRE",IF(Parameters!$B$22=0,0,K52/Parameters!$B$22),IF(B52="PRO",IF(Parameters!$C$22=0,0,K52/Parameters!$C$22),IF(Parameters!$D$22=0,0,K52/Parameters!$D$22)))</f>
        <v/>
      </c>
      <c r="M52" s="43">
        <f>IF(B52="PRE",J52*Parameters!$B$11,IF(B52="PRO",J52*Parameters!$C$11,J52*Parameters!$E$11))</f>
        <v/>
      </c>
      <c r="N52" s="43">
        <f>IF(B52="PRE",L52*Parameters!$B$12,IF(B52="PRO",L52*Parameters!$C$12,L52*Parameters!$E$12))</f>
        <v/>
      </c>
      <c r="O52" s="45">
        <f>(M52+N52)*Parameters!$B$5</f>
        <v/>
      </c>
      <c r="P52" s="45">
        <f>IF(B52="PRE",L52*Parameters!$B$23,IF(B52="PRO",L52*Parameters!$C$23,IF(Parameters!$D$22=0,J52*Parameters!$D$23,L52*Parameters!$D$23)))</f>
        <v/>
      </c>
      <c r="Q52" s="45">
        <f>O52+P52</f>
        <v/>
      </c>
      <c r="R52" s="45">
        <f>IF(OR(B52="PRE",B52="PRO"),Q52*$B$3,0)</f>
        <v/>
      </c>
      <c r="S52" s="45">
        <f>Q52+R52</f>
        <v/>
      </c>
    </row>
    <row r="53">
      <c r="A53">
        <f>Measurement!A50</f>
        <v/>
      </c>
      <c r="B53">
        <f>Measurement!B50</f>
        <v/>
      </c>
      <c r="C53">
        <f>Measurement!C50</f>
        <v/>
      </c>
      <c r="D53" s="43">
        <f>Measurement!D50</f>
        <v/>
      </c>
      <c r="E53" s="43">
        <f>Measurement!J50</f>
        <v/>
      </c>
      <c r="F53" s="43">
        <f>Measurement!E50</f>
        <v/>
      </c>
      <c r="G53" s="67">
        <f>Measurement!F50</f>
        <v/>
      </c>
      <c r="H53" s="67">
        <f>Measurement!I50</f>
        <v/>
      </c>
      <c r="I53" s="32">
        <f>Measurement!G50</f>
        <v/>
      </c>
      <c r="J53" s="42">
        <f>IF(B53="PRE",IF(Parameters!$B$21=0,0,I53/Parameters!$B$21),IF(B53="PRO",IF(Parameters!$C$21=0,0,I53/Parameters!$C$21),IF(Parameters!$D$21=0,0,I53/Parameters!$D$21)))</f>
        <v/>
      </c>
      <c r="K53" s="32">
        <f>Measurement!H50</f>
        <v/>
      </c>
      <c r="L53" s="42">
        <f>IF(B53="PRE",IF(Parameters!$B$22=0,0,K53/Parameters!$B$22),IF(B53="PRO",IF(Parameters!$C$22=0,0,K53/Parameters!$C$22),IF(Parameters!$D$22=0,0,K53/Parameters!$D$22)))</f>
        <v/>
      </c>
      <c r="M53" s="43">
        <f>IF(B53="PRE",J53*Parameters!$B$11,IF(B53="PRO",J53*Parameters!$C$11,J53*Parameters!$E$11))</f>
        <v/>
      </c>
      <c r="N53" s="43">
        <f>IF(B53="PRE",L53*Parameters!$B$12,IF(B53="PRO",L53*Parameters!$C$12,L53*Parameters!$E$12))</f>
        <v/>
      </c>
      <c r="O53" s="45">
        <f>(M53+N53)*Parameters!$B$5</f>
        <v/>
      </c>
      <c r="P53" s="45">
        <f>IF(B53="PRE",L53*Parameters!$B$23,IF(B53="PRO",L53*Parameters!$C$23,IF(Parameters!$D$22=0,J53*Parameters!$D$23,L53*Parameters!$D$23)))</f>
        <v/>
      </c>
      <c r="Q53" s="45">
        <f>O53+P53</f>
        <v/>
      </c>
      <c r="R53" s="45">
        <f>IF(OR(B53="PRE",B53="PRO"),Q53*$B$3,0)</f>
        <v/>
      </c>
      <c r="S53" s="45">
        <f>Q53+R53</f>
        <v/>
      </c>
    </row>
    <row r="54">
      <c r="A54">
        <f>Measurement!A51</f>
        <v/>
      </c>
      <c r="B54">
        <f>Measurement!B51</f>
        <v/>
      </c>
      <c r="C54">
        <f>Measurement!C51</f>
        <v/>
      </c>
      <c r="D54" s="43">
        <f>Measurement!D51</f>
        <v/>
      </c>
      <c r="E54" s="43">
        <f>Measurement!J51</f>
        <v/>
      </c>
      <c r="F54" s="43">
        <f>Measurement!E51</f>
        <v/>
      </c>
      <c r="G54" s="67">
        <f>Measurement!F51</f>
        <v/>
      </c>
      <c r="H54" s="67">
        <f>Measurement!I51</f>
        <v/>
      </c>
      <c r="I54" s="32">
        <f>Measurement!G51</f>
        <v/>
      </c>
      <c r="J54" s="42">
        <f>IF(B54="PRE",IF(Parameters!$B$21=0,0,I54/Parameters!$B$21),IF(B54="PRO",IF(Parameters!$C$21=0,0,I54/Parameters!$C$21),IF(Parameters!$D$21=0,0,I54/Parameters!$D$21)))</f>
        <v/>
      </c>
      <c r="K54" s="32">
        <f>Measurement!H51</f>
        <v/>
      </c>
      <c r="L54" s="42">
        <f>IF(B54="PRE",IF(Parameters!$B$22=0,0,K54/Parameters!$B$22),IF(B54="PRO",IF(Parameters!$C$22=0,0,K54/Parameters!$C$22),IF(Parameters!$D$22=0,0,K54/Parameters!$D$22)))</f>
        <v/>
      </c>
      <c r="M54" s="43">
        <f>IF(B54="PRE",J54*Parameters!$B$11,IF(B54="PRO",J54*Parameters!$C$11,J54*Parameters!$E$11))</f>
        <v/>
      </c>
      <c r="N54" s="43">
        <f>IF(B54="PRE",L54*Parameters!$B$12,IF(B54="PRO",L54*Parameters!$C$12,L54*Parameters!$E$12))</f>
        <v/>
      </c>
      <c r="O54" s="45">
        <f>(M54+N54)*Parameters!$B$5</f>
        <v/>
      </c>
      <c r="P54" s="45">
        <f>IF(B54="PRE",L54*Parameters!$B$23,IF(B54="PRO",L54*Parameters!$C$23,IF(Parameters!$D$22=0,J54*Parameters!$D$23,L54*Parameters!$D$23)))</f>
        <v/>
      </c>
      <c r="Q54" s="45">
        <f>O54+P54</f>
        <v/>
      </c>
      <c r="R54" s="45">
        <f>IF(OR(B54="PRE",B54="PRO"),Q54*$B$3,0)</f>
        <v/>
      </c>
      <c r="S54" s="45">
        <f>Q54+R54</f>
        <v/>
      </c>
    </row>
    <row r="55">
      <c r="A55">
        <f>Measurement!A52</f>
        <v/>
      </c>
      <c r="B55">
        <f>Measurement!B52</f>
        <v/>
      </c>
      <c r="C55">
        <f>Measurement!C52</f>
        <v/>
      </c>
      <c r="D55" s="43">
        <f>Measurement!D52</f>
        <v/>
      </c>
      <c r="E55" s="43">
        <f>Measurement!J52</f>
        <v/>
      </c>
      <c r="F55" s="43">
        <f>Measurement!E52</f>
        <v/>
      </c>
      <c r="G55" s="67">
        <f>Measurement!F52</f>
        <v/>
      </c>
      <c r="H55" s="67">
        <f>Measurement!I52</f>
        <v/>
      </c>
      <c r="I55" s="32">
        <f>Measurement!G52</f>
        <v/>
      </c>
      <c r="J55" s="42">
        <f>IF(B55="PRE",IF(Parameters!$B$21=0,0,I55/Parameters!$B$21),IF(B55="PRO",IF(Parameters!$C$21=0,0,I55/Parameters!$C$21),IF(Parameters!$D$21=0,0,I55/Parameters!$D$21)))</f>
        <v/>
      </c>
      <c r="K55" s="32">
        <f>Measurement!H52</f>
        <v/>
      </c>
      <c r="L55" s="42">
        <f>IF(B55="PRE",IF(Parameters!$B$22=0,0,K55/Parameters!$B$22),IF(B55="PRO",IF(Parameters!$C$22=0,0,K55/Parameters!$C$22),IF(Parameters!$D$22=0,0,K55/Parameters!$D$22)))</f>
        <v/>
      </c>
      <c r="M55" s="43">
        <f>IF(B55="PRE",J55*Parameters!$B$11,IF(B55="PRO",J55*Parameters!$C$11,J55*Parameters!$E$11))</f>
        <v/>
      </c>
      <c r="N55" s="43">
        <f>IF(B55="PRE",L55*Parameters!$B$12,IF(B55="PRO",L55*Parameters!$C$12,L55*Parameters!$E$12))</f>
        <v/>
      </c>
      <c r="O55" s="45">
        <f>(M55+N55)*Parameters!$B$5</f>
        <v/>
      </c>
      <c r="P55" s="45">
        <f>IF(B55="PRE",L55*Parameters!$B$23,IF(B55="PRO",L55*Parameters!$C$23,IF(Parameters!$D$22=0,J55*Parameters!$D$23,L55*Parameters!$D$23)))</f>
        <v/>
      </c>
      <c r="Q55" s="45">
        <f>O55+P55</f>
        <v/>
      </c>
      <c r="R55" s="45">
        <f>IF(OR(B55="PRE",B55="PRO"),Q55*$B$3,0)</f>
        <v/>
      </c>
      <c r="S55" s="45">
        <f>Q55+R55</f>
        <v/>
      </c>
    </row>
    <row r="56">
      <c r="A56">
        <f>Measurement!A53</f>
        <v/>
      </c>
      <c r="B56">
        <f>Measurement!B53</f>
        <v/>
      </c>
      <c r="C56">
        <f>Measurement!C53</f>
        <v/>
      </c>
      <c r="D56" s="43">
        <f>Measurement!D53</f>
        <v/>
      </c>
      <c r="E56" s="43">
        <f>Measurement!J53</f>
        <v/>
      </c>
      <c r="F56" s="43">
        <f>Measurement!E53</f>
        <v/>
      </c>
      <c r="G56" s="67">
        <f>Measurement!F53</f>
        <v/>
      </c>
      <c r="H56" s="67">
        <f>Measurement!I53</f>
        <v/>
      </c>
      <c r="I56" s="32">
        <f>Measurement!G53</f>
        <v/>
      </c>
      <c r="J56" s="42">
        <f>IF(B56="PRE",IF(Parameters!$B$21=0,0,I56/Parameters!$B$21),IF(B56="PRO",IF(Parameters!$C$21=0,0,I56/Parameters!$C$21),IF(Parameters!$D$21=0,0,I56/Parameters!$D$21)))</f>
        <v/>
      </c>
      <c r="K56" s="32">
        <f>Measurement!H53</f>
        <v/>
      </c>
      <c r="L56" s="42">
        <f>IF(B56="PRE",IF(Parameters!$B$22=0,0,K56/Parameters!$B$22),IF(B56="PRO",IF(Parameters!$C$22=0,0,K56/Parameters!$C$22),IF(Parameters!$D$22=0,0,K56/Parameters!$D$22)))</f>
        <v/>
      </c>
      <c r="M56" s="43">
        <f>IF(B56="PRE",J56*Parameters!$B$11,IF(B56="PRO",J56*Parameters!$C$11,J56*Parameters!$E$11))</f>
        <v/>
      </c>
      <c r="N56" s="43">
        <f>IF(B56="PRE",L56*Parameters!$B$12,IF(B56="PRO",L56*Parameters!$C$12,L56*Parameters!$E$12))</f>
        <v/>
      </c>
      <c r="O56" s="45">
        <f>(M56+N56)*Parameters!$B$5</f>
        <v/>
      </c>
      <c r="P56" s="45">
        <f>IF(B56="PRE",L56*Parameters!$B$23,IF(B56="PRO",L56*Parameters!$C$23,IF(Parameters!$D$22=0,J56*Parameters!$D$23,L56*Parameters!$D$23)))</f>
        <v/>
      </c>
      <c r="Q56" s="45">
        <f>O56+P56</f>
        <v/>
      </c>
      <c r="R56" s="45">
        <f>IF(OR(B56="PRE",B56="PRO"),Q56*$B$3,0)</f>
        <v/>
      </c>
      <c r="S56" s="45">
        <f>Q56+R56</f>
        <v/>
      </c>
    </row>
    <row r="57">
      <c r="A57">
        <f>Measurement!A54</f>
        <v/>
      </c>
      <c r="B57">
        <f>Measurement!B54</f>
        <v/>
      </c>
      <c r="C57">
        <f>Measurement!C54</f>
        <v/>
      </c>
      <c r="D57" s="43">
        <f>Measurement!D54</f>
        <v/>
      </c>
      <c r="E57" s="43">
        <f>Measurement!J54</f>
        <v/>
      </c>
      <c r="F57" s="43">
        <f>Measurement!E54</f>
        <v/>
      </c>
      <c r="G57" s="67">
        <f>Measurement!F54</f>
        <v/>
      </c>
      <c r="H57" s="67">
        <f>Measurement!I54</f>
        <v/>
      </c>
      <c r="I57" s="32">
        <f>Measurement!G54</f>
        <v/>
      </c>
      <c r="J57" s="42">
        <f>IF(B57="PRE",IF(Parameters!$B$21=0,0,I57/Parameters!$B$21),IF(B57="PRO",IF(Parameters!$C$21=0,0,I57/Parameters!$C$21),IF(Parameters!$D$21=0,0,I57/Parameters!$D$21)))</f>
        <v/>
      </c>
      <c r="K57" s="32">
        <f>Measurement!H54</f>
        <v/>
      </c>
      <c r="L57" s="42">
        <f>IF(B57="PRE",IF(Parameters!$B$22=0,0,K57/Parameters!$B$22),IF(B57="PRO",IF(Parameters!$C$22=0,0,K57/Parameters!$C$22),IF(Parameters!$D$22=0,0,K57/Parameters!$D$22)))</f>
        <v/>
      </c>
      <c r="M57" s="43">
        <f>IF(B57="PRE",J57*Parameters!$B$11,IF(B57="PRO",J57*Parameters!$C$11,J57*Parameters!$E$11))</f>
        <v/>
      </c>
      <c r="N57" s="43">
        <f>IF(B57="PRE",L57*Parameters!$B$12,IF(B57="PRO",L57*Parameters!$C$12,L57*Parameters!$E$12))</f>
        <v/>
      </c>
      <c r="O57" s="45">
        <f>(M57+N57)*Parameters!$B$5</f>
        <v/>
      </c>
      <c r="P57" s="45">
        <f>IF(B57="PRE",L57*Parameters!$B$23,IF(B57="PRO",L57*Parameters!$C$23,IF(Parameters!$D$22=0,J57*Parameters!$D$23,L57*Parameters!$D$23)))</f>
        <v/>
      </c>
      <c r="Q57" s="45">
        <f>O57+P57</f>
        <v/>
      </c>
      <c r="R57" s="45">
        <f>IF(OR(B57="PRE",B57="PRO"),Q57*$B$3,0)</f>
        <v/>
      </c>
      <c r="S57" s="45">
        <f>Q57+R57</f>
        <v/>
      </c>
    </row>
    <row r="58">
      <c r="A58">
        <f>Measurement!A55</f>
        <v/>
      </c>
      <c r="B58">
        <f>Measurement!B55</f>
        <v/>
      </c>
      <c r="C58">
        <f>Measurement!C55</f>
        <v/>
      </c>
      <c r="D58" s="43">
        <f>Measurement!D55</f>
        <v/>
      </c>
      <c r="E58" s="43">
        <f>Measurement!J55</f>
        <v/>
      </c>
      <c r="F58" s="43">
        <f>Measurement!E55</f>
        <v/>
      </c>
      <c r="G58" s="67">
        <f>Measurement!F55</f>
        <v/>
      </c>
      <c r="H58" s="67">
        <f>Measurement!I55</f>
        <v/>
      </c>
      <c r="I58" s="32">
        <f>Measurement!G55</f>
        <v/>
      </c>
      <c r="J58" s="42">
        <f>IF(B58="PRE",IF(Parameters!$B$21=0,0,I58/Parameters!$B$21),IF(B58="PRO",IF(Parameters!$C$21=0,0,I58/Parameters!$C$21),IF(Parameters!$D$21=0,0,I58/Parameters!$D$21)))</f>
        <v/>
      </c>
      <c r="K58" s="32">
        <f>Measurement!H55</f>
        <v/>
      </c>
      <c r="L58" s="42">
        <f>IF(B58="PRE",IF(Parameters!$B$22=0,0,K58/Parameters!$B$22),IF(B58="PRO",IF(Parameters!$C$22=0,0,K58/Parameters!$C$22),IF(Parameters!$D$22=0,0,K58/Parameters!$D$22)))</f>
        <v/>
      </c>
      <c r="M58" s="43">
        <f>IF(B58="PRE",J58*Parameters!$B$11,IF(B58="PRO",J58*Parameters!$C$11,J58*Parameters!$E$11))</f>
        <v/>
      </c>
      <c r="N58" s="43">
        <f>IF(B58="PRE",L58*Parameters!$B$12,IF(B58="PRO",L58*Parameters!$C$12,L58*Parameters!$E$12))</f>
        <v/>
      </c>
      <c r="O58" s="45">
        <f>(M58+N58)*Parameters!$B$5</f>
        <v/>
      </c>
      <c r="P58" s="45">
        <f>IF(B58="PRE",L58*Parameters!$B$23,IF(B58="PRO",L58*Parameters!$C$23,IF(Parameters!$D$22=0,J58*Parameters!$D$23,L58*Parameters!$D$23)))</f>
        <v/>
      </c>
      <c r="Q58" s="45">
        <f>O58+P58</f>
        <v/>
      </c>
      <c r="R58" s="45">
        <f>IF(OR(B58="PRE",B58="PRO"),Q58*$B$3,0)</f>
        <v/>
      </c>
      <c r="S58" s="45">
        <f>Q58+R58</f>
        <v/>
      </c>
    </row>
    <row r="59">
      <c r="A59">
        <f>Measurement!A56</f>
        <v/>
      </c>
      <c r="B59">
        <f>Measurement!B56</f>
        <v/>
      </c>
      <c r="C59">
        <f>Measurement!C56</f>
        <v/>
      </c>
      <c r="D59" s="43">
        <f>Measurement!D56</f>
        <v/>
      </c>
      <c r="E59" s="43">
        <f>Measurement!J56</f>
        <v/>
      </c>
      <c r="F59" s="43">
        <f>Measurement!E56</f>
        <v/>
      </c>
      <c r="G59" s="67">
        <f>Measurement!F56</f>
        <v/>
      </c>
      <c r="H59" s="67">
        <f>Measurement!I56</f>
        <v/>
      </c>
      <c r="I59" s="32">
        <f>Measurement!G56</f>
        <v/>
      </c>
      <c r="J59" s="42">
        <f>IF(B59="PRE",IF(Parameters!$B$21=0,0,I59/Parameters!$B$21),IF(B59="PRO",IF(Parameters!$C$21=0,0,I59/Parameters!$C$21),IF(Parameters!$D$21=0,0,I59/Parameters!$D$21)))</f>
        <v/>
      </c>
      <c r="K59" s="32">
        <f>Measurement!H56</f>
        <v/>
      </c>
      <c r="L59" s="42">
        <f>IF(B59="PRE",IF(Parameters!$B$22=0,0,K59/Parameters!$B$22),IF(B59="PRO",IF(Parameters!$C$22=0,0,K59/Parameters!$C$22),IF(Parameters!$D$22=0,0,K59/Parameters!$D$22)))</f>
        <v/>
      </c>
      <c r="M59" s="43">
        <f>IF(B59="PRE",J59*Parameters!$B$11,IF(B59="PRO",J59*Parameters!$C$11,J59*Parameters!$E$11))</f>
        <v/>
      </c>
      <c r="N59" s="43">
        <f>IF(B59="PRE",L59*Parameters!$B$12,IF(B59="PRO",L59*Parameters!$C$12,L59*Parameters!$E$12))</f>
        <v/>
      </c>
      <c r="O59" s="45">
        <f>(M59+N59)*Parameters!$B$5</f>
        <v/>
      </c>
      <c r="P59" s="45">
        <f>IF(B59="PRE",L59*Parameters!$B$23,IF(B59="PRO",L59*Parameters!$C$23,IF(Parameters!$D$22=0,J59*Parameters!$D$23,L59*Parameters!$D$23)))</f>
        <v/>
      </c>
      <c r="Q59" s="45">
        <f>O59+P59</f>
        <v/>
      </c>
      <c r="R59" s="45">
        <f>IF(OR(B59="PRE",B59="PRO"),Q59*$B$3,0)</f>
        <v/>
      </c>
      <c r="S59" s="45">
        <f>Q59+R59</f>
        <v/>
      </c>
    </row>
    <row r="60">
      <c r="A60">
        <f>Measurement!A57</f>
        <v/>
      </c>
      <c r="B60">
        <f>Measurement!B57</f>
        <v/>
      </c>
      <c r="C60">
        <f>Measurement!C57</f>
        <v/>
      </c>
      <c r="D60" s="43">
        <f>Measurement!D57</f>
        <v/>
      </c>
      <c r="E60" s="43">
        <f>Measurement!J57</f>
        <v/>
      </c>
      <c r="F60" s="43">
        <f>Measurement!E57</f>
        <v/>
      </c>
      <c r="G60" s="67">
        <f>Measurement!F57</f>
        <v/>
      </c>
      <c r="H60" s="67">
        <f>Measurement!I57</f>
        <v/>
      </c>
      <c r="I60" s="32">
        <f>Measurement!G57</f>
        <v/>
      </c>
      <c r="J60" s="42">
        <f>IF(B60="PRE",IF(Parameters!$B$21=0,0,I60/Parameters!$B$21),IF(B60="PRO",IF(Parameters!$C$21=0,0,I60/Parameters!$C$21),IF(Parameters!$D$21=0,0,I60/Parameters!$D$21)))</f>
        <v/>
      </c>
      <c r="K60" s="32">
        <f>Measurement!H57</f>
        <v/>
      </c>
      <c r="L60" s="42">
        <f>IF(B60="PRE",IF(Parameters!$B$22=0,0,K60/Parameters!$B$22),IF(B60="PRO",IF(Parameters!$C$22=0,0,K60/Parameters!$C$22),IF(Parameters!$D$22=0,0,K60/Parameters!$D$22)))</f>
        <v/>
      </c>
      <c r="M60" s="43">
        <f>IF(B60="PRE",J60*Parameters!$B$11,IF(B60="PRO",J60*Parameters!$C$11,J60*Parameters!$E$11))</f>
        <v/>
      </c>
      <c r="N60" s="43">
        <f>IF(B60="PRE",L60*Parameters!$B$12,IF(B60="PRO",L60*Parameters!$C$12,L60*Parameters!$E$12))</f>
        <v/>
      </c>
      <c r="O60" s="45">
        <f>(M60+N60)*Parameters!$B$5</f>
        <v/>
      </c>
      <c r="P60" s="45">
        <f>IF(B60="PRE",L60*Parameters!$B$23,IF(B60="PRO",L60*Parameters!$C$23,IF(Parameters!$D$22=0,J60*Parameters!$D$23,L60*Parameters!$D$23)))</f>
        <v/>
      </c>
      <c r="Q60" s="45">
        <f>O60+P60</f>
        <v/>
      </c>
      <c r="R60" s="45">
        <f>IF(OR(B60="PRE",B60="PRO"),Q60*$B$3,0)</f>
        <v/>
      </c>
      <c r="S60" s="45">
        <f>Q60+R60</f>
        <v/>
      </c>
    </row>
    <row r="61">
      <c r="A61">
        <f>Measurement!A58</f>
        <v/>
      </c>
      <c r="B61">
        <f>Measurement!B58</f>
        <v/>
      </c>
      <c r="C61">
        <f>Measurement!C58</f>
        <v/>
      </c>
      <c r="D61" s="43">
        <f>Measurement!D58</f>
        <v/>
      </c>
      <c r="E61" s="43">
        <f>Measurement!J58</f>
        <v/>
      </c>
      <c r="F61" s="43">
        <f>Measurement!E58</f>
        <v/>
      </c>
      <c r="G61" s="67">
        <f>Measurement!F58</f>
        <v/>
      </c>
      <c r="H61" s="67">
        <f>Measurement!I58</f>
        <v/>
      </c>
      <c r="I61" s="32">
        <f>Measurement!G58</f>
        <v/>
      </c>
      <c r="J61" s="42">
        <f>IF(B61="PRE",IF(Parameters!$B$21=0,0,I61/Parameters!$B$21),IF(B61="PRO",IF(Parameters!$C$21=0,0,I61/Parameters!$C$21),IF(Parameters!$D$21=0,0,I61/Parameters!$D$21)))</f>
        <v/>
      </c>
      <c r="K61" s="32">
        <f>Measurement!H58</f>
        <v/>
      </c>
      <c r="L61" s="42">
        <f>IF(B61="PRE",IF(Parameters!$B$22=0,0,K61/Parameters!$B$22),IF(B61="PRO",IF(Parameters!$C$22=0,0,K61/Parameters!$C$22),IF(Parameters!$D$22=0,0,K61/Parameters!$D$22)))</f>
        <v/>
      </c>
      <c r="M61" s="43">
        <f>IF(B61="PRE",J61*Parameters!$B$11,IF(B61="PRO",J61*Parameters!$C$11,J61*Parameters!$E$11))</f>
        <v/>
      </c>
      <c r="N61" s="43">
        <f>IF(B61="PRE",L61*Parameters!$B$12,IF(B61="PRO",L61*Parameters!$C$12,L61*Parameters!$E$12))</f>
        <v/>
      </c>
      <c r="O61" s="45">
        <f>(M61+N61)*Parameters!$B$5</f>
        <v/>
      </c>
      <c r="P61" s="45">
        <f>IF(B61="PRE",L61*Parameters!$B$23,IF(B61="PRO",L61*Parameters!$C$23,IF(Parameters!$D$22=0,J61*Parameters!$D$23,L61*Parameters!$D$23)))</f>
        <v/>
      </c>
      <c r="Q61" s="45">
        <f>O61+P61</f>
        <v/>
      </c>
      <c r="R61" s="45">
        <f>IF(OR(B61="PRE",B61="PRO"),Q61*$B$3,0)</f>
        <v/>
      </c>
      <c r="S61" s="45">
        <f>Q61+R61</f>
        <v/>
      </c>
    </row>
    <row r="62">
      <c r="A62">
        <f>Measurement!A59</f>
        <v/>
      </c>
      <c r="B62">
        <f>Measurement!B59</f>
        <v/>
      </c>
      <c r="C62">
        <f>Measurement!C59</f>
        <v/>
      </c>
      <c r="D62" s="43">
        <f>Measurement!D59</f>
        <v/>
      </c>
      <c r="E62" s="43">
        <f>Measurement!J59</f>
        <v/>
      </c>
      <c r="F62" s="43">
        <f>Measurement!E59</f>
        <v/>
      </c>
      <c r="G62" s="67">
        <f>Measurement!F59</f>
        <v/>
      </c>
      <c r="H62" s="67">
        <f>Measurement!I59</f>
        <v/>
      </c>
      <c r="I62" s="32">
        <f>Measurement!G59</f>
        <v/>
      </c>
      <c r="J62" s="42">
        <f>IF(B62="PRE",IF(Parameters!$B$21=0,0,I62/Parameters!$B$21),IF(B62="PRO",IF(Parameters!$C$21=0,0,I62/Parameters!$C$21),IF(Parameters!$D$21=0,0,I62/Parameters!$D$21)))</f>
        <v/>
      </c>
      <c r="K62" s="32">
        <f>Measurement!H59</f>
        <v/>
      </c>
      <c r="L62" s="42">
        <f>IF(B62="PRE",IF(Parameters!$B$22=0,0,K62/Parameters!$B$22),IF(B62="PRO",IF(Parameters!$C$22=0,0,K62/Parameters!$C$22),IF(Parameters!$D$22=0,0,K62/Parameters!$D$22)))</f>
        <v/>
      </c>
      <c r="M62" s="43">
        <f>IF(B62="PRE",J62*Parameters!$B$11,IF(B62="PRO",J62*Parameters!$C$11,J62*Parameters!$E$11))</f>
        <v/>
      </c>
      <c r="N62" s="43">
        <f>IF(B62="PRE",L62*Parameters!$B$12,IF(B62="PRO",L62*Parameters!$C$12,L62*Parameters!$E$12))</f>
        <v/>
      </c>
      <c r="O62" s="45">
        <f>(M62+N62)*Parameters!$B$5</f>
        <v/>
      </c>
      <c r="P62" s="45">
        <f>IF(B62="PRE",L62*Parameters!$B$23,IF(B62="PRO",L62*Parameters!$C$23,IF(Parameters!$D$22=0,J62*Parameters!$D$23,L62*Parameters!$D$23)))</f>
        <v/>
      </c>
      <c r="Q62" s="45">
        <f>O62+P62</f>
        <v/>
      </c>
      <c r="R62" s="45">
        <f>IF(OR(B62="PRE",B62="PRO"),Q62*$B$3,0)</f>
        <v/>
      </c>
      <c r="S62" s="45">
        <f>Q62+R62</f>
        <v/>
      </c>
    </row>
    <row r="63">
      <c r="A63">
        <f>Measurement!A60</f>
        <v/>
      </c>
      <c r="B63">
        <f>Measurement!B60</f>
        <v/>
      </c>
      <c r="C63">
        <f>Measurement!C60</f>
        <v/>
      </c>
      <c r="D63" s="43">
        <f>Measurement!D60</f>
        <v/>
      </c>
      <c r="E63" s="43">
        <f>Measurement!J60</f>
        <v/>
      </c>
      <c r="F63" s="43">
        <f>Measurement!E60</f>
        <v/>
      </c>
      <c r="G63" s="67">
        <f>Measurement!F60</f>
        <v/>
      </c>
      <c r="H63" s="67">
        <f>Measurement!I60</f>
        <v/>
      </c>
      <c r="I63" s="32">
        <f>Measurement!G60</f>
        <v/>
      </c>
      <c r="J63" s="42">
        <f>IF(B63="PRE",IF(Parameters!$B$21=0,0,I63/Parameters!$B$21),IF(B63="PRO",IF(Parameters!$C$21=0,0,I63/Parameters!$C$21),IF(Parameters!$D$21=0,0,I63/Parameters!$D$21)))</f>
        <v/>
      </c>
      <c r="K63" s="32">
        <f>Measurement!H60</f>
        <v/>
      </c>
      <c r="L63" s="42">
        <f>IF(B63="PRE",IF(Parameters!$B$22=0,0,K63/Parameters!$B$22),IF(B63="PRO",IF(Parameters!$C$22=0,0,K63/Parameters!$C$22),IF(Parameters!$D$22=0,0,K63/Parameters!$D$22)))</f>
        <v/>
      </c>
      <c r="M63" s="43">
        <f>IF(B63="PRE",J63*Parameters!$B$11,IF(B63="PRO",J63*Parameters!$C$11,J63*Parameters!$E$11))</f>
        <v/>
      </c>
      <c r="N63" s="43">
        <f>IF(B63="PRE",L63*Parameters!$B$12,IF(B63="PRO",L63*Parameters!$C$12,L63*Parameters!$E$12))</f>
        <v/>
      </c>
      <c r="O63" s="45">
        <f>(M63+N63)*Parameters!$B$5</f>
        <v/>
      </c>
      <c r="P63" s="45">
        <f>IF(B63="PRE",L63*Parameters!$B$23,IF(B63="PRO",L63*Parameters!$C$23,IF(Parameters!$D$22=0,J63*Parameters!$D$23,L63*Parameters!$D$23)))</f>
        <v/>
      </c>
      <c r="Q63" s="45">
        <f>O63+P63</f>
        <v/>
      </c>
      <c r="R63" s="45">
        <f>IF(OR(B63="PRE",B63="PRO"),Q63*$B$3,0)</f>
        <v/>
      </c>
      <c r="S63" s="45">
        <f>Q63+R63</f>
        <v/>
      </c>
    </row>
    <row r="64">
      <c r="A64">
        <f>Measurement!A61</f>
        <v/>
      </c>
      <c r="B64">
        <f>Measurement!B61</f>
        <v/>
      </c>
      <c r="C64">
        <f>Measurement!C61</f>
        <v/>
      </c>
      <c r="D64" s="43">
        <f>Measurement!D61</f>
        <v/>
      </c>
      <c r="E64" s="43">
        <f>Measurement!J61</f>
        <v/>
      </c>
      <c r="F64" s="43">
        <f>Measurement!E61</f>
        <v/>
      </c>
      <c r="G64" s="67">
        <f>Measurement!F61</f>
        <v/>
      </c>
      <c r="H64" s="67">
        <f>Measurement!I61</f>
        <v/>
      </c>
      <c r="I64" s="32">
        <f>Measurement!G61</f>
        <v/>
      </c>
      <c r="J64" s="42">
        <f>IF(B64="PRE",IF(Parameters!$B$21=0,0,I64/Parameters!$B$21),IF(B64="PRO",IF(Parameters!$C$21=0,0,I64/Parameters!$C$21),IF(Parameters!$D$21=0,0,I64/Parameters!$D$21)))</f>
        <v/>
      </c>
      <c r="K64" s="32">
        <f>Measurement!H61</f>
        <v/>
      </c>
      <c r="L64" s="42">
        <f>IF(B64="PRE",IF(Parameters!$B$22=0,0,K64/Parameters!$B$22),IF(B64="PRO",IF(Parameters!$C$22=0,0,K64/Parameters!$C$22),IF(Parameters!$D$22=0,0,K64/Parameters!$D$22)))</f>
        <v/>
      </c>
      <c r="M64" s="43">
        <f>IF(B64="PRE",J64*Parameters!$B$11,IF(B64="PRO",J64*Parameters!$C$11,J64*Parameters!$E$11))</f>
        <v/>
      </c>
      <c r="N64" s="43">
        <f>IF(B64="PRE",L64*Parameters!$B$12,IF(B64="PRO",L64*Parameters!$C$12,L64*Parameters!$E$12))</f>
        <v/>
      </c>
      <c r="O64" s="45">
        <f>(M64+N64)*Parameters!$B$5</f>
        <v/>
      </c>
      <c r="P64" s="45">
        <f>IF(B64="PRE",L64*Parameters!$B$23,IF(B64="PRO",L64*Parameters!$C$23,IF(Parameters!$D$22=0,J64*Parameters!$D$23,L64*Parameters!$D$23)))</f>
        <v/>
      </c>
      <c r="Q64" s="45">
        <f>O64+P64</f>
        <v/>
      </c>
      <c r="R64" s="45">
        <f>IF(OR(B64="PRE",B64="PRO"),Q64*$B$3,0)</f>
        <v/>
      </c>
      <c r="S64" s="45">
        <f>Q64+R64</f>
        <v/>
      </c>
    </row>
    <row r="65">
      <c r="A65">
        <f>Measurement!A62</f>
        <v/>
      </c>
      <c r="B65">
        <f>Measurement!B62</f>
        <v/>
      </c>
      <c r="C65">
        <f>Measurement!C62</f>
        <v/>
      </c>
      <c r="D65" s="43">
        <f>Measurement!D62</f>
        <v/>
      </c>
      <c r="E65" s="43">
        <f>Measurement!J62</f>
        <v/>
      </c>
      <c r="F65" s="43">
        <f>Measurement!E62</f>
        <v/>
      </c>
      <c r="G65" s="67">
        <f>Measurement!F62</f>
        <v/>
      </c>
      <c r="H65" s="67">
        <f>Measurement!I62</f>
        <v/>
      </c>
      <c r="I65" s="32">
        <f>Measurement!G62</f>
        <v/>
      </c>
      <c r="J65" s="42">
        <f>IF(B65="PRE",IF(Parameters!$B$21=0,0,I65/Parameters!$B$21),IF(B65="PRO",IF(Parameters!$C$21=0,0,I65/Parameters!$C$21),IF(Parameters!$D$21=0,0,I65/Parameters!$D$21)))</f>
        <v/>
      </c>
      <c r="K65" s="32">
        <f>Measurement!H62</f>
        <v/>
      </c>
      <c r="L65" s="42">
        <f>IF(B65="PRE",IF(Parameters!$B$22=0,0,K65/Parameters!$B$22),IF(B65="PRO",IF(Parameters!$C$22=0,0,K65/Parameters!$C$22),IF(Parameters!$D$22=0,0,K65/Parameters!$D$22)))</f>
        <v/>
      </c>
      <c r="M65" s="43">
        <f>IF(B65="PRE",J65*Parameters!$B$11,IF(B65="PRO",J65*Parameters!$C$11,J65*Parameters!$E$11))</f>
        <v/>
      </c>
      <c r="N65" s="43">
        <f>IF(B65="PRE",L65*Parameters!$B$12,IF(B65="PRO",L65*Parameters!$C$12,L65*Parameters!$E$12))</f>
        <v/>
      </c>
      <c r="O65" s="45">
        <f>(M65+N65)*Parameters!$B$5</f>
        <v/>
      </c>
      <c r="P65" s="45">
        <f>IF(B65="PRE",L65*Parameters!$B$23,IF(B65="PRO",L65*Parameters!$C$23,IF(Parameters!$D$22=0,J65*Parameters!$D$23,L65*Parameters!$D$23)))</f>
        <v/>
      </c>
      <c r="Q65" s="45">
        <f>O65+P65</f>
        <v/>
      </c>
      <c r="R65" s="45">
        <f>IF(OR(B65="PRE",B65="PRO"),Q65*$B$3,0)</f>
        <v/>
      </c>
      <c r="S65" s="45">
        <f>Q65+R65</f>
        <v/>
      </c>
    </row>
    <row r="66">
      <c r="A66">
        <f>Measurement!A63</f>
        <v/>
      </c>
      <c r="B66">
        <f>Measurement!B63</f>
        <v/>
      </c>
      <c r="C66">
        <f>Measurement!C63</f>
        <v/>
      </c>
      <c r="D66" s="43">
        <f>Measurement!D63</f>
        <v/>
      </c>
      <c r="E66" s="43">
        <f>Measurement!J63</f>
        <v/>
      </c>
      <c r="F66" s="43">
        <f>Measurement!E63</f>
        <v/>
      </c>
      <c r="G66" s="67">
        <f>Measurement!F63</f>
        <v/>
      </c>
      <c r="H66" s="67">
        <f>Measurement!I63</f>
        <v/>
      </c>
      <c r="I66" s="32">
        <f>Measurement!G63</f>
        <v/>
      </c>
      <c r="J66" s="42">
        <f>IF(B66="PRE",IF(Parameters!$B$21=0,0,I66/Parameters!$B$21),IF(B66="PRO",IF(Parameters!$C$21=0,0,I66/Parameters!$C$21),IF(Parameters!$D$21=0,0,I66/Parameters!$D$21)))</f>
        <v/>
      </c>
      <c r="K66" s="32">
        <f>Measurement!H63</f>
        <v/>
      </c>
      <c r="L66" s="42">
        <f>IF(B66="PRE",IF(Parameters!$B$22=0,0,K66/Parameters!$B$22),IF(B66="PRO",IF(Parameters!$C$22=0,0,K66/Parameters!$C$22),IF(Parameters!$D$22=0,0,K66/Parameters!$D$22)))</f>
        <v/>
      </c>
      <c r="M66" s="43">
        <f>IF(B66="PRE",J66*Parameters!$B$11,IF(B66="PRO",J66*Parameters!$C$11,J66*Parameters!$E$11))</f>
        <v/>
      </c>
      <c r="N66" s="43">
        <f>IF(B66="PRE",L66*Parameters!$B$12,IF(B66="PRO",L66*Parameters!$C$12,L66*Parameters!$E$12))</f>
        <v/>
      </c>
      <c r="O66" s="45">
        <f>(M66+N66)*Parameters!$B$5</f>
        <v/>
      </c>
      <c r="P66" s="45">
        <f>IF(B66="PRE",L66*Parameters!$B$23,IF(B66="PRO",L66*Parameters!$C$23,IF(Parameters!$D$22=0,J66*Parameters!$D$23,L66*Parameters!$D$23)))</f>
        <v/>
      </c>
      <c r="Q66" s="45">
        <f>O66+P66</f>
        <v/>
      </c>
      <c r="R66" s="45">
        <f>IF(OR(B66="PRE",B66="PRO"),Q66*$B$3,0)</f>
        <v/>
      </c>
      <c r="S66" s="45">
        <f>Q66+R66</f>
        <v/>
      </c>
    </row>
    <row r="67">
      <c r="A67">
        <f>Measurement!A64</f>
        <v/>
      </c>
      <c r="B67">
        <f>Measurement!B64</f>
        <v/>
      </c>
      <c r="C67">
        <f>Measurement!C64</f>
        <v/>
      </c>
      <c r="D67" s="43">
        <f>Measurement!D64</f>
        <v/>
      </c>
      <c r="E67" s="43">
        <f>Measurement!J64</f>
        <v/>
      </c>
      <c r="F67" s="43">
        <f>Measurement!E64</f>
        <v/>
      </c>
      <c r="G67" s="67">
        <f>Measurement!F64</f>
        <v/>
      </c>
      <c r="H67" s="67">
        <f>Measurement!I64</f>
        <v/>
      </c>
      <c r="I67" s="32">
        <f>Measurement!G64</f>
        <v/>
      </c>
      <c r="J67" s="42">
        <f>IF(B67="PRE",IF(Parameters!$B$21=0,0,I67/Parameters!$B$21),IF(B67="PRO",IF(Parameters!$C$21=0,0,I67/Parameters!$C$21),IF(Parameters!$D$21=0,0,I67/Parameters!$D$21)))</f>
        <v/>
      </c>
      <c r="K67" s="32">
        <f>Measurement!H64</f>
        <v/>
      </c>
      <c r="L67" s="42">
        <f>IF(B67="PRE",IF(Parameters!$B$22=0,0,K67/Parameters!$B$22),IF(B67="PRO",IF(Parameters!$C$22=0,0,K67/Parameters!$C$22),IF(Parameters!$D$22=0,0,K67/Parameters!$D$22)))</f>
        <v/>
      </c>
      <c r="M67" s="43">
        <f>IF(B67="PRE",J67*Parameters!$B$11,IF(B67="PRO",J67*Parameters!$C$11,J67*Parameters!$E$11))</f>
        <v/>
      </c>
      <c r="N67" s="43">
        <f>IF(B67="PRE",L67*Parameters!$B$12,IF(B67="PRO",L67*Parameters!$C$12,L67*Parameters!$E$12))</f>
        <v/>
      </c>
      <c r="O67" s="45">
        <f>(M67+N67)*Parameters!$B$5</f>
        <v/>
      </c>
      <c r="P67" s="45">
        <f>IF(B67="PRE",L67*Parameters!$B$23,IF(B67="PRO",L67*Parameters!$C$23,IF(Parameters!$D$22=0,J67*Parameters!$D$23,L67*Parameters!$D$23)))</f>
        <v/>
      </c>
      <c r="Q67" s="45">
        <f>O67+P67</f>
        <v/>
      </c>
      <c r="R67" s="45">
        <f>IF(OR(B67="PRE",B67="PRO"),Q67*$B$3,0)</f>
        <v/>
      </c>
      <c r="S67" s="45">
        <f>Q67+R67</f>
        <v/>
      </c>
    </row>
    <row r="68">
      <c r="A68">
        <f>Measurement!A65</f>
        <v/>
      </c>
      <c r="B68">
        <f>Measurement!B65</f>
        <v/>
      </c>
      <c r="C68">
        <f>Measurement!C65</f>
        <v/>
      </c>
      <c r="D68" s="43">
        <f>Measurement!D65</f>
        <v/>
      </c>
      <c r="E68" s="43">
        <f>Measurement!J65</f>
        <v/>
      </c>
      <c r="F68" s="43">
        <f>Measurement!E65</f>
        <v/>
      </c>
      <c r="G68" s="67">
        <f>Measurement!F65</f>
        <v/>
      </c>
      <c r="H68" s="67">
        <f>Measurement!I65</f>
        <v/>
      </c>
      <c r="I68" s="32">
        <f>Measurement!G65</f>
        <v/>
      </c>
      <c r="J68" s="42">
        <f>IF(B68="PRE",IF(Parameters!$B$21=0,0,I68/Parameters!$B$21),IF(B68="PRO",IF(Parameters!$C$21=0,0,I68/Parameters!$C$21),IF(Parameters!$D$21=0,0,I68/Parameters!$D$21)))</f>
        <v/>
      </c>
      <c r="K68" s="32">
        <f>Measurement!H65</f>
        <v/>
      </c>
      <c r="L68" s="42">
        <f>IF(B68="PRE",IF(Parameters!$B$22=0,0,K68/Parameters!$B$22),IF(B68="PRO",IF(Parameters!$C$22=0,0,K68/Parameters!$C$22),IF(Parameters!$D$22=0,0,K68/Parameters!$D$22)))</f>
        <v/>
      </c>
      <c r="M68" s="43">
        <f>IF(B68="PRE",J68*Parameters!$B$11,IF(B68="PRO",J68*Parameters!$C$11,J68*Parameters!$E$11))</f>
        <v/>
      </c>
      <c r="N68" s="43">
        <f>IF(B68="PRE",L68*Parameters!$B$12,IF(B68="PRO",L68*Parameters!$C$12,L68*Parameters!$E$12))</f>
        <v/>
      </c>
      <c r="O68" s="45">
        <f>(M68+N68)*Parameters!$B$5</f>
        <v/>
      </c>
      <c r="P68" s="45">
        <f>IF(B68="PRE",L68*Parameters!$B$23,IF(B68="PRO",L68*Parameters!$C$23,IF(Parameters!$D$22=0,J68*Parameters!$D$23,L68*Parameters!$D$23)))</f>
        <v/>
      </c>
      <c r="Q68" s="45">
        <f>O68+P68</f>
        <v/>
      </c>
      <c r="R68" s="45">
        <f>IF(OR(B68="PRE",B68="PRO"),Q68*$B$3,0)</f>
        <v/>
      </c>
      <c r="S68" s="45">
        <f>Q68+R68</f>
        <v/>
      </c>
    </row>
    <row r="69">
      <c r="A69">
        <f>Measurement!A66</f>
        <v/>
      </c>
      <c r="B69">
        <f>Measurement!B66</f>
        <v/>
      </c>
      <c r="C69">
        <f>Measurement!C66</f>
        <v/>
      </c>
      <c r="D69" s="43">
        <f>Measurement!D66</f>
        <v/>
      </c>
      <c r="E69" s="43">
        <f>Measurement!J66</f>
        <v/>
      </c>
      <c r="F69" s="43">
        <f>Measurement!E66</f>
        <v/>
      </c>
      <c r="G69" s="67">
        <f>Measurement!F66</f>
        <v/>
      </c>
      <c r="H69" s="67">
        <f>Measurement!I66</f>
        <v/>
      </c>
      <c r="I69" s="32">
        <f>Measurement!G66</f>
        <v/>
      </c>
      <c r="J69" s="42">
        <f>IF(B69="PRE",IF(Parameters!$B$21=0,0,I69/Parameters!$B$21),IF(B69="PRO",IF(Parameters!$C$21=0,0,I69/Parameters!$C$21),IF(Parameters!$D$21=0,0,I69/Parameters!$D$21)))</f>
        <v/>
      </c>
      <c r="K69" s="32">
        <f>Measurement!H66</f>
        <v/>
      </c>
      <c r="L69" s="42">
        <f>IF(B69="PRE",IF(Parameters!$B$22=0,0,K69/Parameters!$B$22),IF(B69="PRO",IF(Parameters!$C$22=0,0,K69/Parameters!$C$22),IF(Parameters!$D$22=0,0,K69/Parameters!$D$22)))</f>
        <v/>
      </c>
      <c r="M69" s="43">
        <f>IF(B69="PRE",J69*Parameters!$B$11,IF(B69="PRO",J69*Parameters!$C$11,J69*Parameters!$E$11))</f>
        <v/>
      </c>
      <c r="N69" s="43">
        <f>IF(B69="PRE",L69*Parameters!$B$12,IF(B69="PRO",L69*Parameters!$C$12,L69*Parameters!$E$12))</f>
        <v/>
      </c>
      <c r="O69" s="45">
        <f>(M69+N69)*Parameters!$B$5</f>
        <v/>
      </c>
      <c r="P69" s="45">
        <f>IF(B69="PRE",L69*Parameters!$B$23,IF(B69="PRO",L69*Parameters!$C$23,IF(Parameters!$D$22=0,J69*Parameters!$D$23,L69*Parameters!$D$23)))</f>
        <v/>
      </c>
      <c r="Q69" s="45">
        <f>O69+P69</f>
        <v/>
      </c>
      <c r="R69" s="45">
        <f>IF(OR(B69="PRE",B69="PRO"),Q69*$B$3,0)</f>
        <v/>
      </c>
      <c r="S69" s="45">
        <f>Q69+R69</f>
        <v/>
      </c>
    </row>
    <row r="70">
      <c r="A70">
        <f>Measurement!A67</f>
        <v/>
      </c>
      <c r="B70">
        <f>Measurement!B67</f>
        <v/>
      </c>
      <c r="C70">
        <f>Measurement!C67</f>
        <v/>
      </c>
      <c r="D70" s="43">
        <f>Measurement!D67</f>
        <v/>
      </c>
      <c r="E70" s="43">
        <f>Measurement!J67</f>
        <v/>
      </c>
      <c r="F70" s="43">
        <f>Measurement!E67</f>
        <v/>
      </c>
      <c r="G70" s="67">
        <f>Measurement!F67</f>
        <v/>
      </c>
      <c r="H70" s="67">
        <f>Measurement!I67</f>
        <v/>
      </c>
      <c r="I70" s="32">
        <f>Measurement!G67</f>
        <v/>
      </c>
      <c r="J70" s="42">
        <f>IF(B70="PRE",IF(Parameters!$B$21=0,0,I70/Parameters!$B$21),IF(B70="PRO",IF(Parameters!$C$21=0,0,I70/Parameters!$C$21),IF(Parameters!$D$21=0,0,I70/Parameters!$D$21)))</f>
        <v/>
      </c>
      <c r="K70" s="32">
        <f>Measurement!H67</f>
        <v/>
      </c>
      <c r="L70" s="42">
        <f>IF(B70="PRE",IF(Parameters!$B$22=0,0,K70/Parameters!$B$22),IF(B70="PRO",IF(Parameters!$C$22=0,0,K70/Parameters!$C$22),IF(Parameters!$D$22=0,0,K70/Parameters!$D$22)))</f>
        <v/>
      </c>
      <c r="M70" s="43">
        <f>IF(B70="PRE",J70*Parameters!$B$11,IF(B70="PRO",J70*Parameters!$C$11,J70*Parameters!$E$11))</f>
        <v/>
      </c>
      <c r="N70" s="43">
        <f>IF(B70="PRE",L70*Parameters!$B$12,IF(B70="PRO",L70*Parameters!$C$12,L70*Parameters!$E$12))</f>
        <v/>
      </c>
      <c r="O70" s="45">
        <f>(M70+N70)*Parameters!$B$5</f>
        <v/>
      </c>
      <c r="P70" s="45">
        <f>IF(B70="PRE",L70*Parameters!$B$23,IF(B70="PRO",L70*Parameters!$C$23,IF(Parameters!$D$22=0,J70*Parameters!$D$23,L70*Parameters!$D$23)))</f>
        <v/>
      </c>
      <c r="Q70" s="45">
        <f>O70+P70</f>
        <v/>
      </c>
      <c r="R70" s="45">
        <f>IF(OR(B70="PRE",B70="PRO"),Q70*$B$3,0)</f>
        <v/>
      </c>
      <c r="S70" s="45">
        <f>Q70+R70</f>
        <v/>
      </c>
    </row>
    <row r="71">
      <c r="A71">
        <f>Measurement!A68</f>
        <v/>
      </c>
      <c r="B71">
        <f>Measurement!B68</f>
        <v/>
      </c>
      <c r="C71">
        <f>Measurement!C68</f>
        <v/>
      </c>
      <c r="D71" s="43">
        <f>Measurement!D68</f>
        <v/>
      </c>
      <c r="E71" s="43">
        <f>Measurement!J68</f>
        <v/>
      </c>
      <c r="F71" s="43">
        <f>Measurement!E68</f>
        <v/>
      </c>
      <c r="G71" s="67">
        <f>Measurement!F68</f>
        <v/>
      </c>
      <c r="H71" s="67">
        <f>Measurement!I68</f>
        <v/>
      </c>
      <c r="I71" s="32">
        <f>Measurement!G68</f>
        <v/>
      </c>
      <c r="J71" s="42">
        <f>IF(B71="PRE",IF(Parameters!$B$21=0,0,I71/Parameters!$B$21),IF(B71="PRO",IF(Parameters!$C$21=0,0,I71/Parameters!$C$21),IF(Parameters!$D$21=0,0,I71/Parameters!$D$21)))</f>
        <v/>
      </c>
      <c r="K71" s="32">
        <f>Measurement!H68</f>
        <v/>
      </c>
      <c r="L71" s="42">
        <f>IF(B71="PRE",IF(Parameters!$B$22=0,0,K71/Parameters!$B$22),IF(B71="PRO",IF(Parameters!$C$22=0,0,K71/Parameters!$C$22),IF(Parameters!$D$22=0,0,K71/Parameters!$D$22)))</f>
        <v/>
      </c>
      <c r="M71" s="43">
        <f>IF(B71="PRE",J71*Parameters!$B$11,IF(B71="PRO",J71*Parameters!$C$11,J71*Parameters!$E$11))</f>
        <v/>
      </c>
      <c r="N71" s="43">
        <f>IF(B71="PRE",L71*Parameters!$B$12,IF(B71="PRO",L71*Parameters!$C$12,L71*Parameters!$E$12))</f>
        <v/>
      </c>
      <c r="O71" s="45">
        <f>(M71+N71)*Parameters!$B$5</f>
        <v/>
      </c>
      <c r="P71" s="45">
        <f>IF(B71="PRE",L71*Parameters!$B$23,IF(B71="PRO",L71*Parameters!$C$23,IF(Parameters!$D$22=0,J71*Parameters!$D$23,L71*Parameters!$D$23)))</f>
        <v/>
      </c>
      <c r="Q71" s="45">
        <f>O71+P71</f>
        <v/>
      </c>
      <c r="R71" s="45">
        <f>IF(OR(B71="PRE",B71="PRO"),Q71*$B$3,0)</f>
        <v/>
      </c>
      <c r="S71" s="45">
        <f>Q71+R71</f>
        <v/>
      </c>
    </row>
    <row r="72">
      <c r="A72">
        <f>Measurement!A69</f>
        <v/>
      </c>
      <c r="B72">
        <f>Measurement!B69</f>
        <v/>
      </c>
      <c r="C72">
        <f>Measurement!C69</f>
        <v/>
      </c>
      <c r="D72" s="43">
        <f>Measurement!D69</f>
        <v/>
      </c>
      <c r="E72" s="43">
        <f>Measurement!J69</f>
        <v/>
      </c>
      <c r="F72" s="43">
        <f>Measurement!E69</f>
        <v/>
      </c>
      <c r="G72" s="67">
        <f>Measurement!F69</f>
        <v/>
      </c>
      <c r="H72" s="67">
        <f>Measurement!I69</f>
        <v/>
      </c>
      <c r="I72" s="32">
        <f>Measurement!G69</f>
        <v/>
      </c>
      <c r="J72" s="42">
        <f>IF(B72="PRE",IF(Parameters!$B$21=0,0,I72/Parameters!$B$21),IF(B72="PRO",IF(Parameters!$C$21=0,0,I72/Parameters!$C$21),IF(Parameters!$D$21=0,0,I72/Parameters!$D$21)))</f>
        <v/>
      </c>
      <c r="K72" s="32">
        <f>Measurement!H69</f>
        <v/>
      </c>
      <c r="L72" s="42">
        <f>IF(B72="PRE",IF(Parameters!$B$22=0,0,K72/Parameters!$B$22),IF(B72="PRO",IF(Parameters!$C$22=0,0,K72/Parameters!$C$22),IF(Parameters!$D$22=0,0,K72/Parameters!$D$22)))</f>
        <v/>
      </c>
      <c r="M72" s="43">
        <f>IF(B72="PRE",J72*Parameters!$B$11,IF(B72="PRO",J72*Parameters!$C$11,J72*Parameters!$E$11))</f>
        <v/>
      </c>
      <c r="N72" s="43">
        <f>IF(B72="PRE",L72*Parameters!$B$12,IF(B72="PRO",L72*Parameters!$C$12,L72*Parameters!$E$12))</f>
        <v/>
      </c>
      <c r="O72" s="45">
        <f>(M72+N72)*Parameters!$B$5</f>
        <v/>
      </c>
      <c r="P72" s="45">
        <f>IF(B72="PRE",L72*Parameters!$B$23,IF(B72="PRO",L72*Parameters!$C$23,IF(Parameters!$D$22=0,J72*Parameters!$D$23,L72*Parameters!$D$23)))</f>
        <v/>
      </c>
      <c r="Q72" s="45">
        <f>O72+P72</f>
        <v/>
      </c>
      <c r="R72" s="45">
        <f>IF(OR(B72="PRE",B72="PRO"),Q72*$B$3,0)</f>
        <v/>
      </c>
      <c r="S72" s="45">
        <f>Q72+R72</f>
        <v/>
      </c>
    </row>
    <row r="73">
      <c r="A73">
        <f>Measurement!A70</f>
        <v/>
      </c>
      <c r="B73">
        <f>Measurement!B70</f>
        <v/>
      </c>
      <c r="C73">
        <f>Measurement!C70</f>
        <v/>
      </c>
      <c r="D73" s="43">
        <f>Measurement!D70</f>
        <v/>
      </c>
      <c r="E73" s="43">
        <f>Measurement!J70</f>
        <v/>
      </c>
      <c r="F73" s="43">
        <f>Measurement!E70</f>
        <v/>
      </c>
      <c r="G73" s="67">
        <f>Measurement!F70</f>
        <v/>
      </c>
      <c r="H73" s="67">
        <f>Measurement!I70</f>
        <v/>
      </c>
      <c r="I73" s="32">
        <f>Measurement!G70</f>
        <v/>
      </c>
      <c r="J73" s="42">
        <f>IF(B73="PRE",IF(Parameters!$B$21=0,0,I73/Parameters!$B$21),IF(B73="PRO",IF(Parameters!$C$21=0,0,I73/Parameters!$C$21),IF(Parameters!$D$21=0,0,I73/Parameters!$D$21)))</f>
        <v/>
      </c>
      <c r="K73" s="32">
        <f>Measurement!H70</f>
        <v/>
      </c>
      <c r="L73" s="42">
        <f>IF(B73="PRE",IF(Parameters!$B$22=0,0,K73/Parameters!$B$22),IF(B73="PRO",IF(Parameters!$C$22=0,0,K73/Parameters!$C$22),IF(Parameters!$D$22=0,0,K73/Parameters!$D$22)))</f>
        <v/>
      </c>
      <c r="M73" s="43">
        <f>IF(B73="PRE",J73*Parameters!$B$11,IF(B73="PRO",J73*Parameters!$C$11,J73*Parameters!$E$11))</f>
        <v/>
      </c>
      <c r="N73" s="43">
        <f>IF(B73="PRE",L73*Parameters!$B$12,IF(B73="PRO",L73*Parameters!$C$12,L73*Parameters!$E$12))</f>
        <v/>
      </c>
      <c r="O73" s="45">
        <f>(M73+N73)*Parameters!$B$5</f>
        <v/>
      </c>
      <c r="P73" s="45">
        <f>IF(B73="PRE",L73*Parameters!$B$23,IF(B73="PRO",L73*Parameters!$C$23,IF(Parameters!$D$22=0,J73*Parameters!$D$23,L73*Parameters!$D$23)))</f>
        <v/>
      </c>
      <c r="Q73" s="45">
        <f>O73+P73</f>
        <v/>
      </c>
      <c r="R73" s="45">
        <f>IF(OR(B73="PRE",B73="PRO"),Q73*$B$3,0)</f>
        <v/>
      </c>
      <c r="S73" s="45">
        <f>Q73+R73</f>
        <v/>
      </c>
    </row>
    <row r="74">
      <c r="A74">
        <f>Measurement!A71</f>
        <v/>
      </c>
      <c r="B74">
        <f>Measurement!B71</f>
        <v/>
      </c>
      <c r="C74">
        <f>Measurement!C71</f>
        <v/>
      </c>
      <c r="D74" s="43">
        <f>Measurement!D71</f>
        <v/>
      </c>
      <c r="E74" s="43">
        <f>Measurement!J71</f>
        <v/>
      </c>
      <c r="F74" s="43">
        <f>Measurement!E71</f>
        <v/>
      </c>
      <c r="G74" s="67">
        <f>Measurement!F71</f>
        <v/>
      </c>
      <c r="H74" s="67">
        <f>Measurement!I71</f>
        <v/>
      </c>
      <c r="I74" s="32">
        <f>Measurement!G71</f>
        <v/>
      </c>
      <c r="J74" s="42">
        <f>IF(B74="PRE",IF(Parameters!$B$21=0,0,I74/Parameters!$B$21),IF(B74="PRO",IF(Parameters!$C$21=0,0,I74/Parameters!$C$21),IF(Parameters!$D$21=0,0,I74/Parameters!$D$21)))</f>
        <v/>
      </c>
      <c r="K74" s="32">
        <f>Measurement!H71</f>
        <v/>
      </c>
      <c r="L74" s="42">
        <f>IF(B74="PRE",IF(Parameters!$B$22=0,0,K74/Parameters!$B$22),IF(B74="PRO",IF(Parameters!$C$22=0,0,K74/Parameters!$C$22),IF(Parameters!$D$22=0,0,K74/Parameters!$D$22)))</f>
        <v/>
      </c>
      <c r="M74" s="43">
        <f>IF(B74="PRE",J74*Parameters!$B$11,IF(B74="PRO",J74*Parameters!$C$11,J74*Parameters!$E$11))</f>
        <v/>
      </c>
      <c r="N74" s="43">
        <f>IF(B74="PRE",L74*Parameters!$B$12,IF(B74="PRO",L74*Parameters!$C$12,L74*Parameters!$E$12))</f>
        <v/>
      </c>
      <c r="O74" s="45">
        <f>(M74+N74)*Parameters!$B$5</f>
        <v/>
      </c>
      <c r="P74" s="45">
        <f>IF(B74="PRE",L74*Parameters!$B$23,IF(B74="PRO",L74*Parameters!$C$23,IF(Parameters!$D$22=0,J74*Parameters!$D$23,L74*Parameters!$D$23)))</f>
        <v/>
      </c>
      <c r="Q74" s="45">
        <f>O74+P74</f>
        <v/>
      </c>
      <c r="R74" s="45">
        <f>IF(OR(B74="PRE",B74="PRO"),Q74*$B$3,0)</f>
        <v/>
      </c>
      <c r="S74" s="45">
        <f>Q74+R74</f>
        <v/>
      </c>
    </row>
    <row r="75">
      <c r="A75">
        <f>Measurement!A72</f>
        <v/>
      </c>
      <c r="B75">
        <f>Measurement!B72</f>
        <v/>
      </c>
      <c r="C75">
        <f>Measurement!C72</f>
        <v/>
      </c>
      <c r="D75" s="43">
        <f>Measurement!D72</f>
        <v/>
      </c>
      <c r="E75" s="43">
        <f>Measurement!J72</f>
        <v/>
      </c>
      <c r="F75" s="43">
        <f>Measurement!E72</f>
        <v/>
      </c>
      <c r="G75" s="67">
        <f>Measurement!F72</f>
        <v/>
      </c>
      <c r="H75" s="67">
        <f>Measurement!I72</f>
        <v/>
      </c>
      <c r="I75" s="32">
        <f>Measurement!G72</f>
        <v/>
      </c>
      <c r="J75" s="42">
        <f>IF(B75="PRE",IF(Parameters!$B$21=0,0,I75/Parameters!$B$21),IF(B75="PRO",IF(Parameters!$C$21=0,0,I75/Parameters!$C$21),IF(Parameters!$D$21=0,0,I75/Parameters!$D$21)))</f>
        <v/>
      </c>
      <c r="K75" s="32">
        <f>Measurement!H72</f>
        <v/>
      </c>
      <c r="L75" s="42">
        <f>IF(B75="PRE",IF(Parameters!$B$22=0,0,K75/Parameters!$B$22),IF(B75="PRO",IF(Parameters!$C$22=0,0,K75/Parameters!$C$22),IF(Parameters!$D$22=0,0,K75/Parameters!$D$22)))</f>
        <v/>
      </c>
      <c r="M75" s="43">
        <f>IF(B75="PRE",J75*Parameters!$B$11,IF(B75="PRO",J75*Parameters!$C$11,J75*Parameters!$E$11))</f>
        <v/>
      </c>
      <c r="N75" s="43">
        <f>IF(B75="PRE",L75*Parameters!$B$12,IF(B75="PRO",L75*Parameters!$C$12,L75*Parameters!$E$12))</f>
        <v/>
      </c>
      <c r="O75" s="45">
        <f>(M75+N75)*Parameters!$B$5</f>
        <v/>
      </c>
      <c r="P75" s="45">
        <f>IF(B75="PRE",L75*Parameters!$B$23,IF(B75="PRO",L75*Parameters!$C$23,IF(Parameters!$D$22=0,J75*Parameters!$D$23,L75*Parameters!$D$23)))</f>
        <v/>
      </c>
      <c r="Q75" s="45">
        <f>O75+P75</f>
        <v/>
      </c>
      <c r="R75" s="45">
        <f>IF(OR(B75="PRE",B75="PRO"),Q75*$B$3,0)</f>
        <v/>
      </c>
      <c r="S75" s="45">
        <f>Q75+R75</f>
        <v/>
      </c>
    </row>
    <row r="76">
      <c r="A76">
        <f>Measurement!A73</f>
        <v/>
      </c>
      <c r="B76">
        <f>Measurement!B73</f>
        <v/>
      </c>
      <c r="C76">
        <f>Measurement!C73</f>
        <v/>
      </c>
      <c r="D76" s="43">
        <f>Measurement!D73</f>
        <v/>
      </c>
      <c r="E76" s="43">
        <f>Measurement!J73</f>
        <v/>
      </c>
      <c r="F76" s="43">
        <f>Measurement!E73</f>
        <v/>
      </c>
      <c r="G76" s="67">
        <f>Measurement!F73</f>
        <v/>
      </c>
      <c r="H76" s="67">
        <f>Measurement!I73</f>
        <v/>
      </c>
      <c r="I76" s="32">
        <f>Measurement!G73</f>
        <v/>
      </c>
      <c r="J76" s="42">
        <f>IF(B76="PRE",IF(Parameters!$B$21=0,0,I76/Parameters!$B$21),IF(B76="PRO",IF(Parameters!$C$21=0,0,I76/Parameters!$C$21),IF(Parameters!$D$21=0,0,I76/Parameters!$D$21)))</f>
        <v/>
      </c>
      <c r="K76" s="32">
        <f>Measurement!H73</f>
        <v/>
      </c>
      <c r="L76" s="42">
        <f>IF(B76="PRE",IF(Parameters!$B$22=0,0,K76/Parameters!$B$22),IF(B76="PRO",IF(Parameters!$C$22=0,0,K76/Parameters!$C$22),IF(Parameters!$D$22=0,0,K76/Parameters!$D$22)))</f>
        <v/>
      </c>
      <c r="M76" s="43">
        <f>IF(B76="PRE",J76*Parameters!$B$11,IF(B76="PRO",J76*Parameters!$C$11,J76*Parameters!$E$11))</f>
        <v/>
      </c>
      <c r="N76" s="43">
        <f>IF(B76="PRE",L76*Parameters!$B$12,IF(B76="PRO",L76*Parameters!$C$12,L76*Parameters!$E$12))</f>
        <v/>
      </c>
      <c r="O76" s="45">
        <f>(M76+N76)*Parameters!$B$5</f>
        <v/>
      </c>
      <c r="P76" s="45">
        <f>IF(B76="PRE",L76*Parameters!$B$23,IF(B76="PRO",L76*Parameters!$C$23,IF(Parameters!$D$22=0,J76*Parameters!$D$23,L76*Parameters!$D$23)))</f>
        <v/>
      </c>
      <c r="Q76" s="45">
        <f>O76+P76</f>
        <v/>
      </c>
      <c r="R76" s="45">
        <f>IF(OR(B76="PRE",B76="PRO"),Q76*$B$3,0)</f>
        <v/>
      </c>
      <c r="S76" s="45">
        <f>Q76+R76</f>
        <v/>
      </c>
    </row>
    <row r="77">
      <c r="A77">
        <f>Measurement!A74</f>
        <v/>
      </c>
      <c r="B77">
        <f>Measurement!B74</f>
        <v/>
      </c>
      <c r="C77">
        <f>Measurement!C74</f>
        <v/>
      </c>
      <c r="D77" s="43">
        <f>Measurement!D74</f>
        <v/>
      </c>
      <c r="E77" s="43">
        <f>Measurement!J74</f>
        <v/>
      </c>
      <c r="F77" s="43">
        <f>Measurement!E74</f>
        <v/>
      </c>
      <c r="G77" s="67">
        <f>Measurement!F74</f>
        <v/>
      </c>
      <c r="H77" s="67">
        <f>Measurement!I74</f>
        <v/>
      </c>
      <c r="I77" s="32">
        <f>Measurement!G74</f>
        <v/>
      </c>
      <c r="J77" s="42">
        <f>IF(B77="PRE",IF(Parameters!$B$21=0,0,I77/Parameters!$B$21),IF(B77="PRO",IF(Parameters!$C$21=0,0,I77/Parameters!$C$21),IF(Parameters!$D$21=0,0,I77/Parameters!$D$21)))</f>
        <v/>
      </c>
      <c r="K77" s="32">
        <f>Measurement!H74</f>
        <v/>
      </c>
      <c r="L77" s="42">
        <f>IF(B77="PRE",IF(Parameters!$B$22=0,0,K77/Parameters!$B$22),IF(B77="PRO",IF(Parameters!$C$22=0,0,K77/Parameters!$C$22),IF(Parameters!$D$22=0,0,K77/Parameters!$D$22)))</f>
        <v/>
      </c>
      <c r="M77" s="43">
        <f>IF(B77="PRE",J77*Parameters!$B$11,IF(B77="PRO",J77*Parameters!$C$11,J77*Parameters!$E$11))</f>
        <v/>
      </c>
      <c r="N77" s="43">
        <f>IF(B77="PRE",L77*Parameters!$B$12,IF(B77="PRO",L77*Parameters!$C$12,L77*Parameters!$E$12))</f>
        <v/>
      </c>
      <c r="O77" s="45">
        <f>(M77+N77)*Parameters!$B$5</f>
        <v/>
      </c>
      <c r="P77" s="45">
        <f>IF(B77="PRE",L77*Parameters!$B$23,IF(B77="PRO",L77*Parameters!$C$23,IF(Parameters!$D$22=0,J77*Parameters!$D$23,L77*Parameters!$D$23)))</f>
        <v/>
      </c>
      <c r="Q77" s="45">
        <f>O77+P77</f>
        <v/>
      </c>
      <c r="R77" s="45">
        <f>IF(OR(B77="PRE",B77="PRO"),Q77*$B$3,0)</f>
        <v/>
      </c>
      <c r="S77" s="45">
        <f>Q77+R77</f>
        <v/>
      </c>
    </row>
    <row r="78">
      <c r="A78">
        <f>Measurement!A75</f>
        <v/>
      </c>
      <c r="B78">
        <f>Measurement!B75</f>
        <v/>
      </c>
      <c r="C78">
        <f>Measurement!C75</f>
        <v/>
      </c>
      <c r="D78" s="43">
        <f>Measurement!D75</f>
        <v/>
      </c>
      <c r="E78" s="43">
        <f>Measurement!J75</f>
        <v/>
      </c>
      <c r="F78" s="43">
        <f>Measurement!E75</f>
        <v/>
      </c>
      <c r="G78" s="67">
        <f>Measurement!F75</f>
        <v/>
      </c>
      <c r="H78" s="67">
        <f>Measurement!I75</f>
        <v/>
      </c>
      <c r="I78" s="32">
        <f>Measurement!G75</f>
        <v/>
      </c>
      <c r="J78" s="42">
        <f>IF(B78="PRE",IF(Parameters!$B$21=0,0,I78/Parameters!$B$21),IF(B78="PRO",IF(Parameters!$C$21=0,0,I78/Parameters!$C$21),IF(Parameters!$D$21=0,0,I78/Parameters!$D$21)))</f>
        <v/>
      </c>
      <c r="K78" s="32">
        <f>Measurement!H75</f>
        <v/>
      </c>
      <c r="L78" s="42">
        <f>IF(B78="PRE",IF(Parameters!$B$22=0,0,K78/Parameters!$B$22),IF(B78="PRO",IF(Parameters!$C$22=0,0,K78/Parameters!$C$22),IF(Parameters!$D$22=0,0,K78/Parameters!$D$22)))</f>
        <v/>
      </c>
      <c r="M78" s="43">
        <f>IF(B78="PRE",J78*Parameters!$B$11,IF(B78="PRO",J78*Parameters!$C$11,J78*Parameters!$E$11))</f>
        <v/>
      </c>
      <c r="N78" s="43">
        <f>IF(B78="PRE",L78*Parameters!$B$12,IF(B78="PRO",L78*Parameters!$C$12,L78*Parameters!$E$12))</f>
        <v/>
      </c>
      <c r="O78" s="45">
        <f>(M78+N78)*Parameters!$B$5</f>
        <v/>
      </c>
      <c r="P78" s="45">
        <f>IF(B78="PRE",L78*Parameters!$B$23,IF(B78="PRO",L78*Parameters!$C$23,IF(Parameters!$D$22=0,J78*Parameters!$D$23,L78*Parameters!$D$23)))</f>
        <v/>
      </c>
      <c r="Q78" s="45">
        <f>O78+P78</f>
        <v/>
      </c>
      <c r="R78" s="45">
        <f>IF(OR(B78="PRE",B78="PRO"),Q78*$B$3,0)</f>
        <v/>
      </c>
      <c r="S78" s="45">
        <f>Q78+R78</f>
        <v/>
      </c>
    </row>
    <row r="79">
      <c r="A79" s="17" t="inlineStr">
        <is>
          <t>Total</t>
        </is>
      </c>
      <c r="B79" s="17" t="n"/>
      <c r="C79" s="17" t="n"/>
      <c r="D79" s="17" t="n"/>
      <c r="E79" s="17" t="n"/>
      <c r="F79" s="17" t="n"/>
      <c r="G79" s="17">
        <f>SUM(G6:G78)</f>
        <v/>
      </c>
      <c r="H79" s="17" t="n"/>
      <c r="I79" s="41">
        <f>SUM(I6:I78)</f>
        <v/>
      </c>
      <c r="J79" s="17" t="n"/>
      <c r="K79" s="41">
        <f>SUM(K6:K78)</f>
        <v/>
      </c>
      <c r="L79" s="17" t="n"/>
      <c r="M79" s="17" t="n"/>
      <c r="N79" s="17" t="n"/>
      <c r="O79" s="46">
        <f>SUM(O6:O78)</f>
        <v/>
      </c>
      <c r="P79" s="46">
        <f>SUM(P6:P78)</f>
        <v/>
      </c>
      <c r="Q79" s="46">
        <f>SUM(Q6:Q78)</f>
        <v/>
      </c>
      <c r="R79" s="46">
        <f>SUM(R6:R78)</f>
        <v/>
      </c>
      <c r="S79" s="46">
        <f>SUM(S6:S78)</f>
        <v/>
      </c>
    </row>
    <row r="80"/>
    <row r="81">
      <c r="A81" s="17" t="inlineStr">
        <is>
          <t>Comprobacion por cluster</t>
        </is>
      </c>
    </row>
    <row r="82">
      <c r="A82" s="17" t="inlineStr">
        <is>
          <t>Entorno</t>
        </is>
      </c>
      <c r="B82" s="17" t="inlineStr">
        <is>
          <t>ECU/mes Elastic de las filas</t>
        </is>
      </c>
      <c r="C82" s="17" t="inlineStr">
        <is>
          <t>ECU/mes a repercutir</t>
        </is>
      </c>
    </row>
    <row r="83">
      <c r="A83" t="inlineStr">
        <is>
          <t>PRE</t>
        </is>
      </c>
      <c r="B83" s="45">
        <f>SUMIF($B$6:$B$78,A83,$Q$6:$Q$78)</f>
        <v/>
      </c>
      <c r="C83" s="45">
        <f>SUMIF($B$6:$B$78,A83,$S$6:$S$78)</f>
        <v/>
      </c>
    </row>
    <row r="84">
      <c r="A84" t="inlineStr">
        <is>
          <t>PRO</t>
        </is>
      </c>
      <c r="B84" s="45">
        <f>SUMIF($B$6:$B$78,A84,$Q$6:$Q$78)</f>
        <v/>
      </c>
      <c r="C84" s="45">
        <f>SUMIF($B$6:$B$78,A84,$S$6:$S$78)</f>
        <v/>
      </c>
    </row>
    <row r="85">
      <c r="A85" t="inlineStr">
        <is>
          <t>MON</t>
        </is>
      </c>
      <c r="B85" s="45">
        <f>SUMIF($B$6:$B$78,A85,$Q$6:$Q$78)</f>
        <v/>
      </c>
      <c r="C85" s="45">
        <f>SUMIF($B$6:$B$78,A85,$S$6:$S$78)</f>
        <v/>
      </c>
    </row>
    <row r="86"/>
    <row r="87">
      <c r="A87" s="17" t="inlineStr">
        <is>
          <t>ECU/aÃ±o a repercutir</t>
        </is>
      </c>
      <c r="B87" s="46">
        <f>S79*12</f>
        <v/>
      </c>
    </row>
    <row r="88">
      <c r="A88" s="17" t="inlineStr">
        <is>
          <t>Commit anual</t>
        </is>
      </c>
      <c r="B88" s="46">
        <f>Parameters!B42</f>
        <v/>
      </c>
    </row>
    <row r="89">
      <c r="A89" s="17" t="inlineStr">
        <is>
          <t>Diferencia frente al commit</t>
        </is>
      </c>
      <c r="B89" s="46">
        <f>B87-B88</f>
        <v/>
      </c>
    </row>
    <row r="90">
      <c r="A90" s="17" t="inlineStr">
        <is>
          <t>Resultado</t>
        </is>
      </c>
      <c r="B90" s="17">
        <f>IF(B89&gt;0,"Por encima del commit","Por debajo del commit")</f>
        <v/>
      </c>
    </row>
  </sheetData>
  <mergeCells count="1">
    <mergeCell ref="A2:N2"/>
  </mergeCells>
  <pageMargins left="0.7" right="0.7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10" defaultRowHeight="15"/>
  <cols>
    <col width="28.7109375" customWidth="1" style="58" min="1" max="1"/>
    <col width="36.7109375" customWidth="1" style="58" min="2" max="2"/>
    <col width="18.7109375" customWidth="1" style="32" min="3" max="3"/>
    <col width="78.7109375" customWidth="1" style="32" min="4" max="4"/>
    <col width="62.7109375" customWidth="1" style="32" min="5" max="5"/>
    <col width="14.7109375" customWidth="1" style="32" min="6" max="6"/>
    <col width="70.7109375" customWidth="1" style="58" min="7" max="7"/>
  </cols>
  <sheetData>
    <row r="1" ht="21" customHeight="1" s="58">
      <c r="A1" s="1" t="inlineStr">
        <is>
          <t>Kubernetes Azure</t>
        </is>
      </c>
      <c r="B1" s="60" t="n"/>
      <c r="C1" s="28" t="n"/>
      <c r="D1" s="28" t="n"/>
      <c r="E1" s="28" t="n"/>
      <c r="F1" s="28" t="n"/>
      <c r="G1" s="60" t="n"/>
    </row>
    <row r="2" ht="48" customHeight="1" s="58">
      <c r="A2" s="61" t="inlineStr">
        <is>
          <t>Cliente Kubernetes Azure en PRE y en PRO. Las filas amarillas son las familias medidas. Para otro cliente, sustituye esos nombres por los de la hoja Measurement o usa la hoja Cualquier cliente. Los eventos/s y los KB/doc se ensenan para saber que hay; el ECU no los usa.</t>
        </is>
      </c>
    </row>
    <row r="3">
      <c r="A3" s="60" t="n"/>
      <c r="B3" s="60" t="n"/>
      <c r="C3" s="28" t="n"/>
      <c r="D3" s="28" t="n"/>
      <c r="E3" s="28" t="n"/>
      <c r="F3" s="28" t="n"/>
      <c r="G3" s="60" t="n"/>
    </row>
    <row r="4">
      <c r="A4" s="59" t="inlineStr">
        <is>
          <t>Familias PRE. Cada fila amarilla es una familia de Measurement.</t>
        </is>
      </c>
    </row>
    <row r="5">
      <c r="A5" s="5" t="inlineStr">
        <is>
          <t>Familia</t>
        </is>
      </c>
      <c r="B5" s="5" t="inlineStr">
        <is>
          <t>Entorno</t>
        </is>
      </c>
      <c r="C5" s="29" t="inlineStr">
        <is>
          <t>GB hot</t>
        </is>
      </c>
      <c r="D5" s="29" t="inlineStr">
        <is>
          <t>GB frozen</t>
        </is>
      </c>
      <c r="E5" s="29" t="inlineStr">
        <is>
          <t>Eventos/s 15 min</t>
        </is>
      </c>
      <c r="F5" s="29" t="inlineStr">
        <is>
          <t>KB/doc</t>
        </is>
      </c>
      <c r="G5" s="5" t="inlineStr">
        <is>
          <t>Que es</t>
        </is>
      </c>
    </row>
    <row r="6" ht="48" customHeight="1" s="58">
      <c r="A6" s="61" t="inlineStr">
        <is>
          <t>Nombre exacto de la columna Familia en Measurement. La celda amarilla se cambia para otro cliente.</t>
        </is>
      </c>
      <c r="B6" s="61" t="inlineStr">
        <is>
          <t>Cluster de esa familia. Sale de Measurement y elige la tarifa y el denominador.</t>
        </is>
      </c>
      <c r="C6" s="30" t="inlineStr">
        <is>
          <t>GB de dataset en nodos hot de esta familia. Measurement columna GB hot.</t>
        </is>
      </c>
      <c r="D6" s="30" t="inlineStr">
        <is>
          <t>GB de dataset en nodos frozen de esta familia. Measurement columna GB frozen.</t>
        </is>
      </c>
      <c r="E6" s="30" t="inlineStr">
        <is>
          <t>Documentos con @timestamp en los ultimos 15 minutos, dividido entre 900. No entra en el ECU.</t>
        </is>
      </c>
      <c r="F6" s="30" t="inlineStr">
        <is>
          <t>Bytes de dataset primario / documentos / 1024. No entra en el ECU.</t>
        </is>
      </c>
      <c r="G6" s="61" t="inlineStr">
        <is>
          <t>Texto medido de Measurement. Dice que patron es. Si pone No esta en Measurement, el nombre no coincide.</t>
        </is>
      </c>
    </row>
    <row r="7">
      <c r="A7" s="4" t="inlineStr">
        <is>
          <t>pre-k8s-cloud-applogs-tst</t>
        </is>
      </c>
      <c r="B7" s="60">
        <f>IF(A7="","",IFERROR(INDEX(Measurement!B:B,MATCH(A7,Measurement!A:A,0)),""))</f>
        <v/>
      </c>
      <c r="C7" s="28">
        <f>IF(A7="","",SUMIF(Measurement!A:A,A7,Measurement!G:G))</f>
        <v/>
      </c>
      <c r="D7" s="28">
        <f>IF(A7="","",SUMIF(Measurement!A:A,A7,Measurement!H:H))</f>
        <v/>
      </c>
      <c r="E7" s="28">
        <f>IF(A7="","",SUMIF(Measurement!A:A,A7,Measurement!D:D))</f>
        <v/>
      </c>
      <c r="F7" s="28">
        <f>IF(A7="","",SUMIF(Measurement!A:A,A7,Measurement!E:E))</f>
        <v/>
      </c>
      <c r="G7" s="60">
        <f>IF(A7="","",IFERROR(INDEX(Measurement!C:C,MATCH(A7,Measurement!A:A,0)),"No esta en Measurement"))</f>
        <v/>
      </c>
    </row>
    <row r="8">
      <c r="A8" s="4" t="inlineStr">
        <is>
          <t>pre-k8s-cloud-applogs</t>
        </is>
      </c>
      <c r="B8" s="60">
        <f>IF(A8="","",IFERROR(INDEX(Measurement!B:B,MATCH(A8,Measurement!A:A,0)),""))</f>
        <v/>
      </c>
      <c r="C8" s="28">
        <f>IF(A8="","",SUMIF(Measurement!A:A,A8,Measurement!G:G))</f>
        <v/>
      </c>
      <c r="D8" s="28">
        <f>IF(A8="","",SUMIF(Measurement!A:A,A8,Measurement!H:H))</f>
        <v/>
      </c>
      <c r="E8" s="28">
        <f>IF(A8="","",SUMIF(Measurement!A:A,A8,Measurement!D:D))</f>
        <v/>
      </c>
      <c r="F8" s="28">
        <f>IF(A8="","",SUMIF(Measurement!A:A,A8,Measurement!E:E))</f>
        <v/>
      </c>
      <c r="G8" s="60">
        <f>IF(A8="","",IFERROR(INDEX(Measurement!C:C,MATCH(A8,Measurement!A:A,0)),"No esta en Measurement"))</f>
        <v/>
      </c>
    </row>
    <row r="9">
      <c r="A9" s="4" t="inlineStr">
        <is>
          <t>pre-k8s-cloud-applogs-dev</t>
        </is>
      </c>
      <c r="B9" s="60">
        <f>IF(A9="","",IFERROR(INDEX(Measurement!B:B,MATCH(A9,Measurement!A:A,0)),""))</f>
        <v/>
      </c>
      <c r="C9" s="28">
        <f>IF(A9="","",SUMIF(Measurement!A:A,A9,Measurement!G:G))</f>
        <v/>
      </c>
      <c r="D9" s="28">
        <f>IF(A9="","",SUMIF(Measurement!A:A,A9,Measurement!H:H))</f>
        <v/>
      </c>
      <c r="E9" s="28">
        <f>IF(A9="","",SUMIF(Measurement!A:A,A9,Measurement!D:D))</f>
        <v/>
      </c>
      <c r="F9" s="28">
        <f>IF(A9="","",SUMIF(Measurement!A:A,A9,Measurement!E:E))</f>
        <v/>
      </c>
      <c r="G9" s="60">
        <f>IF(A9="","",IFERROR(INDEX(Measurement!C:C,MATCH(A9,Measurement!A:A,0)),"No esta en Measurement"))</f>
        <v/>
      </c>
    </row>
    <row r="10">
      <c r="A10" s="4" t="inlineStr">
        <is>
          <t>pre-k8s-cloud-applogs-30d</t>
        </is>
      </c>
      <c r="B10" s="60">
        <f>IF(A10="","",IFERROR(INDEX(Measurement!B:B,MATCH(A10,Measurement!A:A,0)),""))</f>
        <v/>
      </c>
      <c r="C10" s="28">
        <f>IF(A10="","",SUMIF(Measurement!A:A,A10,Measurement!G:G))</f>
        <v/>
      </c>
      <c r="D10" s="28">
        <f>IF(A10="","",SUMIF(Measurement!A:A,A10,Measurement!H:H))</f>
        <v/>
      </c>
      <c r="E10" s="28">
        <f>IF(A10="","",SUMIF(Measurement!A:A,A10,Measurement!D:D))</f>
        <v/>
      </c>
      <c r="F10" s="28">
        <f>IF(A10="","",SUMIF(Measurement!A:A,A10,Measurement!E:E))</f>
        <v/>
      </c>
      <c r="G10" s="60">
        <f>IF(A10="","",IFERROR(INDEX(Measurement!C:C,MATCH(A10,Measurement!A:A,0)),"No esta en Measurement"))</f>
        <v/>
      </c>
    </row>
    <row r="11">
      <c r="A11" s="4" t="n"/>
      <c r="B11" s="60">
        <f>IF(A11="","",IFERROR(INDEX(Measurement!B:B,MATCH(A11,Measurement!A:A,0)),""))</f>
        <v/>
      </c>
      <c r="C11" s="28">
        <f>IF(A11="","",SUMIF(Measurement!A:A,A11,Measurement!G:G))</f>
        <v/>
      </c>
      <c r="D11" s="28">
        <f>IF(A11="","",SUMIF(Measurement!A:A,A11,Measurement!H:H))</f>
        <v/>
      </c>
      <c r="E11" s="28">
        <f>IF(A11="","",SUMIF(Measurement!A:A,A11,Measurement!D:D))</f>
        <v/>
      </c>
      <c r="F11" s="28">
        <f>IF(A11="","",SUMIF(Measurement!A:A,A11,Measurement!E:E))</f>
        <v/>
      </c>
      <c r="G11" s="60">
        <f>IF(A11="","",IFERROR(INDEX(Measurement!C:C,MATCH(A11,Measurement!A:A,0)),"No esta en Measurement"))</f>
        <v/>
      </c>
    </row>
    <row r="12">
      <c r="A12" s="4" t="n"/>
      <c r="B12" s="60">
        <f>IF(A12="","",IFERROR(INDEX(Measurement!B:B,MATCH(A12,Measurement!A:A,0)),""))</f>
        <v/>
      </c>
      <c r="C12" s="28">
        <f>IF(A12="","",SUMIF(Measurement!A:A,A12,Measurement!G:G))</f>
        <v/>
      </c>
      <c r="D12" s="28">
        <f>IF(A12="","",SUMIF(Measurement!A:A,A12,Measurement!H:H))</f>
        <v/>
      </c>
      <c r="E12" s="28">
        <f>IF(A12="","",SUMIF(Measurement!A:A,A12,Measurement!D:D))</f>
        <v/>
      </c>
      <c r="F12" s="28">
        <f>IF(A12="","",SUMIF(Measurement!A:A,A12,Measurement!E:E))</f>
        <v/>
      </c>
      <c r="G12" s="60">
        <f>IF(A12="","",IFERROR(INDEX(Measurement!C:C,MATCH(A12,Measurement!A:A,0)),"No esta en Measurement"))</f>
        <v/>
      </c>
    </row>
    <row r="13">
      <c r="A13" s="6" t="inlineStr">
        <is>
          <t>Suma</t>
        </is>
      </c>
      <c r="B13" s="6" t="n"/>
      <c r="C13" s="31">
        <f>SUM(C7:C12)</f>
        <v/>
      </c>
      <c r="D13" s="31">
        <f>SUM(D7:D12)</f>
        <v/>
      </c>
      <c r="E13" s="31">
        <f>SUM(E7:E12)</f>
        <v/>
      </c>
      <c r="F13" s="31" t="n"/>
      <c r="G13" s="6" t="n"/>
    </row>
    <row r="14">
      <c r="A14" s="60" t="n"/>
      <c r="B14" s="60" t="n"/>
      <c r="C14" s="28" t="n"/>
      <c r="D14" s="28" t="n"/>
      <c r="E14" s="28" t="n"/>
      <c r="F14" s="28" t="n"/>
      <c r="G14" s="60" t="n"/>
    </row>
    <row r="15">
      <c r="A15" s="59" t="inlineStr">
        <is>
          <t>Familias PRO. Cada fila amarilla es una familia de Measurement.</t>
        </is>
      </c>
    </row>
    <row r="16">
      <c r="A16" s="5" t="inlineStr">
        <is>
          <t>Familia</t>
        </is>
      </c>
      <c r="B16" s="5" t="inlineStr">
        <is>
          <t>Entorno</t>
        </is>
      </c>
      <c r="C16" s="29" t="inlineStr">
        <is>
          <t>GB hot</t>
        </is>
      </c>
      <c r="D16" s="29" t="inlineStr">
        <is>
          <t>GB frozen</t>
        </is>
      </c>
      <c r="E16" s="29" t="inlineStr">
        <is>
          <t>Eventos/s 15 min</t>
        </is>
      </c>
      <c r="F16" s="29" t="inlineStr">
        <is>
          <t>KB/doc</t>
        </is>
      </c>
      <c r="G16" s="5" t="inlineStr">
        <is>
          <t>Que es</t>
        </is>
      </c>
    </row>
    <row r="17" ht="48" customHeight="1" s="58">
      <c r="A17" s="61" t="inlineStr">
        <is>
          <t>Nombre exacto de la columna Familia en Measurement. La celda amarilla se cambia para otro cliente.</t>
        </is>
      </c>
      <c r="B17" s="61" t="inlineStr">
        <is>
          <t>Cluster de esa familia. Sale de Measurement y elige la tarifa y el denominador.</t>
        </is>
      </c>
      <c r="C17" s="30" t="inlineStr">
        <is>
          <t>GB de dataset en nodos hot de esta familia. Measurement columna GB hot.</t>
        </is>
      </c>
      <c r="D17" s="30" t="inlineStr">
        <is>
          <t>GB de dataset en nodos frozen de esta familia. Measurement columna GB frozen.</t>
        </is>
      </c>
      <c r="E17" s="30" t="inlineStr">
        <is>
          <t>Documentos con @timestamp en los ultimos 15 minutos, dividido entre 900. No entra en el ECU.</t>
        </is>
      </c>
      <c r="F17" s="30" t="inlineStr">
        <is>
          <t>Bytes de dataset primario / documentos / 1024. No entra en el ECU.</t>
        </is>
      </c>
      <c r="G17" s="61" t="inlineStr">
        <is>
          <t>Texto medido de Measurement. Dice que patron es. Si pone No esta en Measurement, el nombre no coincide.</t>
        </is>
      </c>
    </row>
    <row r="18">
      <c r="A18" s="4" t="inlineStr">
        <is>
          <t>pro-k8s-cloud-applogs</t>
        </is>
      </c>
      <c r="B18" s="60">
        <f>IF(A18="","",IFERROR(INDEX(Measurement!B:B,MATCH(A18,Measurement!A:A,0)),""))</f>
        <v/>
      </c>
      <c r="C18" s="28">
        <f>IF(A18="","",SUMIF(Measurement!A:A,A18,Measurement!G:G))</f>
        <v/>
      </c>
      <c r="D18" s="28">
        <f>IF(A18="","",SUMIF(Measurement!A:A,A18,Measurement!H:H))</f>
        <v/>
      </c>
      <c r="E18" s="28">
        <f>IF(A18="","",SUMIF(Measurement!A:A,A18,Measurement!D:D))</f>
        <v/>
      </c>
      <c r="F18" s="28">
        <f>IF(A18="","",SUMIF(Measurement!A:A,A18,Measurement!E:E))</f>
        <v/>
      </c>
      <c r="G18" s="60">
        <f>IF(A18="","",IFERROR(INDEX(Measurement!C:C,MATCH(A18,Measurement!A:A,0)),"No esta en Measurement"))</f>
        <v/>
      </c>
    </row>
    <row r="19">
      <c r="A19" s="4" t="inlineStr">
        <is>
          <t>pro-k8s-cloud-applogs-30d</t>
        </is>
      </c>
      <c r="B19" s="60">
        <f>IF(A19="","",IFERROR(INDEX(Measurement!B:B,MATCH(A19,Measurement!A:A,0)),""))</f>
        <v/>
      </c>
      <c r="C19" s="28">
        <f>IF(A19="","",SUMIF(Measurement!A:A,A19,Measurement!G:G))</f>
        <v/>
      </c>
      <c r="D19" s="28">
        <f>IF(A19="","",SUMIF(Measurement!A:A,A19,Measurement!H:H))</f>
        <v/>
      </c>
      <c r="E19" s="28">
        <f>IF(A19="","",SUMIF(Measurement!A:A,A19,Measurement!D:D))</f>
        <v/>
      </c>
      <c r="F19" s="28">
        <f>IF(A19="","",SUMIF(Measurement!A:A,A19,Measurement!E:E))</f>
        <v/>
      </c>
      <c r="G19" s="60">
        <f>IF(A19="","",IFERROR(INDEX(Measurement!C:C,MATCH(A19,Measurement!A:A,0)),"No esta en Measurement"))</f>
        <v/>
      </c>
    </row>
    <row r="20">
      <c r="A20" s="4" t="n"/>
      <c r="B20" s="60">
        <f>IF(A20="","",IFERROR(INDEX(Measurement!B:B,MATCH(A20,Measurement!A:A,0)),""))</f>
        <v/>
      </c>
      <c r="C20" s="28">
        <f>IF(A20="","",SUMIF(Measurement!A:A,A20,Measurement!G:G))</f>
        <v/>
      </c>
      <c r="D20" s="28">
        <f>IF(A20="","",SUMIF(Measurement!A:A,A20,Measurement!H:H))</f>
        <v/>
      </c>
      <c r="E20" s="28">
        <f>IF(A20="","",SUMIF(Measurement!A:A,A20,Measurement!D:D))</f>
        <v/>
      </c>
      <c r="F20" s="28">
        <f>IF(A20="","",SUMIF(Measurement!A:A,A20,Measurement!E:E))</f>
        <v/>
      </c>
      <c r="G20" s="60">
        <f>IF(A20="","",IFERROR(INDEX(Measurement!C:C,MATCH(A20,Measurement!A:A,0)),"No esta en Measurement"))</f>
        <v/>
      </c>
    </row>
    <row r="21">
      <c r="A21" s="4" t="n"/>
      <c r="B21" s="60">
        <f>IF(A21="","",IFERROR(INDEX(Measurement!B:B,MATCH(A21,Measurement!A:A,0)),""))</f>
        <v/>
      </c>
      <c r="C21" s="28">
        <f>IF(A21="","",SUMIF(Measurement!A:A,A21,Measurement!G:G))</f>
        <v/>
      </c>
      <c r="D21" s="28">
        <f>IF(A21="","",SUMIF(Measurement!A:A,A21,Measurement!H:H))</f>
        <v/>
      </c>
      <c r="E21" s="28">
        <f>IF(A21="","",SUMIF(Measurement!A:A,A21,Measurement!D:D))</f>
        <v/>
      </c>
      <c r="F21" s="28">
        <f>IF(A21="","",SUMIF(Measurement!A:A,A21,Measurement!E:E))</f>
        <v/>
      </c>
      <c r="G21" s="60">
        <f>IF(A21="","",IFERROR(INDEX(Measurement!C:C,MATCH(A21,Measurement!A:A,0)),"No esta en Measurement"))</f>
        <v/>
      </c>
    </row>
    <row r="22">
      <c r="A22" s="6" t="inlineStr">
        <is>
          <t>Suma</t>
        </is>
      </c>
      <c r="B22" s="6" t="n"/>
      <c r="C22" s="31">
        <f>SUM(C18:C21)</f>
        <v/>
      </c>
      <c r="D22" s="31">
        <f>SUM(D18:D21)</f>
        <v/>
      </c>
      <c r="E22" s="31">
        <f>SUM(E18:E21)</f>
        <v/>
      </c>
      <c r="F22" s="31" t="n"/>
      <c r="G22" s="6" t="n"/>
    </row>
    <row r="23">
      <c r="A23" s="60" t="n"/>
      <c r="B23" s="60" t="n"/>
      <c r="C23" s="28" t="n"/>
      <c r="D23" s="28" t="n"/>
      <c r="E23" s="28" t="n"/>
      <c r="F23" s="28" t="n"/>
      <c r="G23" s="60" t="n"/>
    </row>
    <row r="24">
      <c r="A24" s="59" t="inlineStr">
        <is>
          <t>Calculo PRE</t>
        </is>
      </c>
      <c r="F24" s="28" t="n"/>
      <c r="G24" s="60" t="n"/>
    </row>
    <row r="25">
      <c r="A25" s="5" t="inlineStr">
        <is>
          <t>Paso</t>
        </is>
      </c>
      <c r="B25" s="5" t="inlineStr">
        <is>
          <t>Casilla</t>
        </is>
      </c>
      <c r="C25" s="29" t="inlineStr">
        <is>
          <t>Valor</t>
        </is>
      </c>
      <c r="D25" s="29" t="inlineStr">
        <is>
          <t>Que es</t>
        </is>
      </c>
      <c r="E25" s="29" t="inlineStr">
        <is>
          <t>Como se calcula</t>
        </is>
      </c>
      <c r="F25" s="28" t="n"/>
      <c r="G25" s="60" t="n"/>
    </row>
    <row r="26">
      <c r="A26" s="60" t="n">
        <v>1</v>
      </c>
      <c r="B26" s="60" t="inlineStr">
        <is>
          <t>GB hot del cliente</t>
        </is>
      </c>
      <c r="C26" s="28">
        <f>C13</f>
        <v/>
      </c>
      <c r="D26" s="28" t="inlineStr">
        <is>
          <t>Suma de GB hot de las familias de este cliente en PRE.</t>
        </is>
      </c>
      <c r="E26" s="28" t="inlineStr">
        <is>
          <t>Suma GB hot de la tabla PRE.</t>
        </is>
      </c>
      <c r="F26" s="28" t="n"/>
      <c r="G26" s="60" t="n"/>
    </row>
    <row r="27">
      <c r="A27" s="60" t="n">
        <v>2</v>
      </c>
      <c r="B27" s="60" t="inlineStr">
        <is>
          <t>GB hot del cluster</t>
        </is>
      </c>
      <c r="C27" s="28">
        <f>Parameters!$B$21</f>
        <v/>
      </c>
      <c r="D27" s="28" t="inlineStr">
        <is>
          <t>Denominador. Todo el hot de PRE, no solo este cliente.</t>
        </is>
      </c>
      <c r="E27" s="28" t="inlineStr">
        <is>
          <t>Parameters, suma de Measurement.</t>
        </is>
      </c>
      <c r="F27" s="28" t="n"/>
      <c r="G27" s="60" t="n"/>
    </row>
    <row r="28">
      <c r="A28" s="60" t="n">
        <v>3</v>
      </c>
      <c r="B28" s="60" t="inlineStr">
        <is>
          <t>Cuota hot</t>
        </is>
      </c>
      <c r="C28" s="33">
        <f>IF(C27=0,0,C26/C27)</f>
        <v/>
      </c>
      <c r="D28" s="28" t="inlineStr">
        <is>
          <t>Parte del hot del cluster que es de este cliente.</t>
        </is>
      </c>
      <c r="E28" s="28" t="inlineStr">
        <is>
          <t>GB hot del cliente / GB hot del cluster.</t>
        </is>
      </c>
      <c r="F28" s="28" t="n"/>
      <c r="G28" s="60" t="n"/>
    </row>
    <row r="29">
      <c r="A29" s="60" t="n">
        <v>4</v>
      </c>
      <c r="B29" s="60" t="inlineStr">
        <is>
          <t>GB frozen del cliente</t>
        </is>
      </c>
      <c r="C29" s="28">
        <f>D13</f>
        <v/>
      </c>
      <c r="D29" s="28" t="inlineStr">
        <is>
          <t>Suma de GB frozen de las familias de este cliente en PRE.</t>
        </is>
      </c>
      <c r="E29" s="28" t="inlineStr">
        <is>
          <t>Suma GB frozen de la tabla PRE.</t>
        </is>
      </c>
      <c r="F29" s="28" t="n"/>
      <c r="G29" s="60" t="n"/>
    </row>
    <row r="30">
      <c r="A30" s="60" t="n">
        <v>5</v>
      </c>
      <c r="B30" s="60" t="inlineStr">
        <is>
          <t>GB frozen del cluster</t>
        </is>
      </c>
      <c r="C30" s="28">
        <f>Parameters!$B$22</f>
        <v/>
      </c>
      <c r="D30" s="28" t="inlineStr">
        <is>
          <t>Denominador frozen de PRE.</t>
        </is>
      </c>
      <c r="E30" s="28" t="inlineStr">
        <is>
          <t>Parameters, suma de Measurement.</t>
        </is>
      </c>
      <c r="F30" s="28" t="n"/>
      <c r="G30" s="60" t="n"/>
    </row>
    <row r="31">
      <c r="A31" s="60" t="n">
        <v>6</v>
      </c>
      <c r="B31" s="60" t="inlineStr">
        <is>
          <t>Cuota frozen</t>
        </is>
      </c>
      <c r="C31" s="33">
        <f>IF(C30=0,0,C29/C30)</f>
        <v/>
      </c>
      <c r="D31" s="28" t="inlineStr">
        <is>
          <t>Parte del frozen del cluster que es de este cliente.</t>
        </is>
      </c>
      <c r="E31" s="28" t="inlineStr">
        <is>
          <t>GB frozen del cliente / GB frozen del cluster.</t>
        </is>
      </c>
      <c r="F31" s="28" t="n"/>
      <c r="G31" s="60" t="n"/>
    </row>
    <row r="32">
      <c r="A32" s="60" t="n">
        <v>7</v>
      </c>
      <c r="B32" s="60" t="inlineStr">
        <is>
          <t>ECU/h hot del cluster</t>
        </is>
      </c>
      <c r="C32" s="34">
        <f>Parameters!$B$11</f>
        <v/>
      </c>
      <c r="D32" s="28" t="inlineStr">
        <is>
          <t>Tarifa por hora de los nodos hot de PRE. El disco va incluido.</t>
        </is>
      </c>
      <c r="E32" s="28" t="inlineStr">
        <is>
          <t>Parameters. Factura Elastic Cloud.</t>
        </is>
      </c>
      <c r="F32" s="28" t="n"/>
      <c r="G32" s="60" t="n"/>
    </row>
    <row r="33">
      <c r="A33" s="60" t="n">
        <v>8</v>
      </c>
      <c r="B33" s="60" t="inlineStr">
        <is>
          <t>ECU/h hot del cliente</t>
        </is>
      </c>
      <c r="C33" s="34">
        <f>C28*C32</f>
        <v/>
      </c>
      <c r="D33" s="28" t="inlineStr">
        <is>
          <t>Coste horario del hot que le toca a este cliente.</t>
        </is>
      </c>
      <c r="E33" s="28" t="inlineStr">
        <is>
          <t>Cuota hot x ECU/h hot del cluster.</t>
        </is>
      </c>
      <c r="F33" s="28" t="n"/>
      <c r="G33" s="60" t="n"/>
    </row>
    <row r="34">
      <c r="A34" s="60" t="n">
        <v>9</v>
      </c>
      <c r="B34" s="60" t="inlineStr">
        <is>
          <t>ECU/h frozen del cluster</t>
        </is>
      </c>
      <c r="C34" s="34">
        <f>Parameters!$B$12</f>
        <v/>
      </c>
      <c r="D34" s="28" t="inlineStr">
        <is>
          <t>Tarifa por hora de los nodos frozen de PRE.</t>
        </is>
      </c>
      <c r="E34" s="28" t="inlineStr">
        <is>
          <t>Parameters. Factura Elastic Cloud.</t>
        </is>
      </c>
      <c r="F34" s="28" t="n"/>
      <c r="G34" s="60" t="n"/>
    </row>
    <row r="35">
      <c r="A35" s="60" t="n">
        <v>10</v>
      </c>
      <c r="B35" s="60" t="inlineStr">
        <is>
          <t>ECU/h frozen del cliente</t>
        </is>
      </c>
      <c r="C35" s="34">
        <f>C31*C34</f>
        <v/>
      </c>
      <c r="D35" s="28" t="inlineStr">
        <is>
          <t>Coste horario del frozen que le toca a este cliente.</t>
        </is>
      </c>
      <c r="E35" s="28" t="inlineStr">
        <is>
          <t>Cuota frozen x ECU/h frozen del cluster.</t>
        </is>
      </c>
      <c r="F35" s="28" t="n"/>
      <c r="G35" s="60" t="n"/>
    </row>
    <row r="36">
      <c r="A36" s="60" t="n">
        <v>11</v>
      </c>
      <c r="B36" s="60" t="inlineStr">
        <is>
          <t>Horas al mes</t>
        </is>
      </c>
      <c r="C36" s="35">
        <f>Parameters!$B$5</f>
        <v/>
      </c>
      <c r="D36" s="28" t="inlineStr">
        <is>
          <t>Horas del mes para pasar de ECU/hora a ECU/mes.</t>
        </is>
      </c>
      <c r="E36" s="28" t="inlineStr">
        <is>
          <t>Parameters, Horas al mes.</t>
        </is>
      </c>
      <c r="F36" s="28" t="n"/>
      <c r="G36" s="60" t="n"/>
    </row>
    <row r="37">
      <c r="A37" s="60" t="n">
        <v>12</v>
      </c>
      <c r="B37" s="60" t="inlineStr">
        <is>
          <t>ECU/mes capacidad</t>
        </is>
      </c>
      <c r="C37" s="36">
        <f>(C33+C35)*C36</f>
        <v/>
      </c>
      <c r="D37" s="28" t="inlineStr">
        <is>
          <t>Coste mensual de hot y frozen, sin snapshots ni recargo.</t>
        </is>
      </c>
      <c r="E37" s="28" t="inlineStr">
        <is>
          <t>(ECU/h hot del cliente + ECU/h frozen del cliente) x horas.</t>
        </is>
      </c>
      <c r="F37" s="28" t="n"/>
      <c r="G37" s="60" t="n"/>
    </row>
    <row r="38">
      <c r="A38" s="60" t="n">
        <v>13</v>
      </c>
      <c r="B38" s="60" t="inlineStr">
        <is>
          <t>Snapshots ECU/mes del cluster</t>
        </is>
      </c>
      <c r="C38" s="36">
        <f>Parameters!$B$23</f>
        <v/>
      </c>
      <c r="D38" s="28" t="inlineStr">
        <is>
          <t>Factura mensual de snapshots de todo PRE. Sample closed month.</t>
        </is>
      </c>
      <c r="E38" s="28" t="inlineStr">
        <is>
          <t>Parameters, snapshots ECU/mes.</t>
        </is>
      </c>
      <c r="F38" s="28" t="n"/>
      <c r="G38" s="60" t="n"/>
    </row>
    <row r="39">
      <c r="A39" s="60" t="n">
        <v>14</v>
      </c>
      <c r="B39" s="60" t="inlineStr">
        <is>
          <t>ECU/mes snapshots del cliente</t>
        </is>
      </c>
      <c r="C39" s="36">
        <f>IF(C30=0,C28*C38,C31*C38)</f>
        <v/>
      </c>
      <c r="D39" s="28" t="inlineStr">
        <is>
          <t>Parte de los snapshots que le toca. Si no hay frozen en el cluster, usa la cuota hot.</t>
        </is>
      </c>
      <c r="E39" s="28" t="inlineStr">
        <is>
          <t>Cuota frozen x snapshots. Si el frozen del cluster es 0, cuota hot x snapshots.</t>
        </is>
      </c>
      <c r="F39" s="28" t="n"/>
      <c r="G39" s="60" t="n"/>
    </row>
    <row r="40">
      <c r="A40" s="60" t="n">
        <v>15</v>
      </c>
      <c r="B40" s="60" t="inlineStr">
        <is>
          <t>ECU/mes Elastic</t>
        </is>
      </c>
      <c r="C40" s="36">
        <f>C37+C39</f>
        <v/>
      </c>
      <c r="D40" s="28" t="inlineStr">
        <is>
          <t>Coste Elastic del mes, sin recargo.</t>
        </is>
      </c>
      <c r="E40" s="28" t="inlineStr">
        <is>
          <t>ECU/mes capacidad + ECU/mes snapshots.</t>
        </is>
      </c>
      <c r="F40" s="28" t="n"/>
      <c r="G40" s="60" t="n"/>
    </row>
    <row r="41">
      <c r="A41" s="60" t="n">
        <v>16</v>
      </c>
      <c r="B41" s="60" t="inlineStr">
        <is>
          <t>Recargo</t>
        </is>
      </c>
      <c r="C41" s="33">
        <f>Parameters!$B$6</f>
        <v/>
      </c>
      <c r="D41" s="28" t="inlineStr">
        <is>
          <t>Recargo de plataforma, picos y administracion. Solo PRE y PRO.</t>
        </is>
      </c>
      <c r="E41" s="28" t="inlineStr">
        <is>
          <t>Parameters, recargo sobre PRE y PRO.</t>
        </is>
      </c>
      <c r="F41" s="28" t="n"/>
      <c r="G41" s="60" t="n"/>
    </row>
    <row r="42">
      <c r="A42" s="60" t="n">
        <v>17</v>
      </c>
      <c r="B42" s="60" t="inlineStr">
        <is>
          <t>ECU/mes recargo</t>
        </is>
      </c>
      <c r="C42" s="33">
        <f>IF(OR("PRE"="PRE","PRE"="PRO"),C40*C41,0)</f>
        <v/>
      </c>
      <c r="D42" s="28" t="inlineStr">
        <is>
          <t>ECU del recargo este mes.</t>
        </is>
      </c>
      <c r="E42" s="28" t="inlineStr">
        <is>
          <t>ECU/mes Elastic x recargo.</t>
        </is>
      </c>
      <c r="F42" s="28" t="n"/>
      <c r="G42" s="60" t="n"/>
    </row>
    <row r="43">
      <c r="A43" s="6" t="n">
        <v>18</v>
      </c>
      <c r="B43" s="6" t="inlineStr">
        <is>
          <t>ECU/mes a repercutir</t>
        </is>
      </c>
      <c r="C43" s="37">
        <f>C40+C42</f>
        <v/>
      </c>
      <c r="D43" s="31" t="inlineStr">
        <is>
          <t>Total a cobrar este mes.</t>
        </is>
      </c>
      <c r="E43" s="31" t="inlineStr">
        <is>
          <t>ECU/mes Elastic + ECU/mes recargo.</t>
        </is>
      </c>
      <c r="F43" s="28" t="n"/>
      <c r="G43" s="60" t="n"/>
    </row>
    <row r="44">
      <c r="A44" s="6" t="n">
        <v>19</v>
      </c>
      <c r="B44" s="6" t="inlineStr">
        <is>
          <t>ECU/ano</t>
        </is>
      </c>
      <c r="C44" s="37">
        <f>C43*12</f>
        <v/>
      </c>
      <c r="D44" s="31" t="inlineStr">
        <is>
          <t>Total a cobrar en 12 meses con los GB y la tarifa de hoy.</t>
        </is>
      </c>
      <c r="E44" s="31" t="inlineStr">
        <is>
          <t>ECU/mes a repercutir x 12.</t>
        </is>
      </c>
      <c r="F44" s="28" t="n"/>
      <c r="G44" s="60" t="n"/>
    </row>
    <row r="45">
      <c r="A45" s="60" t="n"/>
      <c r="B45" s="60" t="n"/>
      <c r="C45" s="28" t="n"/>
      <c r="D45" s="28" t="n"/>
      <c r="E45" s="28" t="n"/>
      <c r="F45" s="28" t="n"/>
      <c r="G45" s="60" t="n"/>
    </row>
    <row r="46">
      <c r="A46" s="59" t="inlineStr">
        <is>
          <t>Calculo PRO</t>
        </is>
      </c>
      <c r="F46" s="28" t="n"/>
      <c r="G46" s="60" t="n"/>
    </row>
    <row r="47">
      <c r="A47" s="5" t="inlineStr">
        <is>
          <t>Paso</t>
        </is>
      </c>
      <c r="B47" s="5" t="inlineStr">
        <is>
          <t>Casilla</t>
        </is>
      </c>
      <c r="C47" s="29" t="inlineStr">
        <is>
          <t>Valor</t>
        </is>
      </c>
      <c r="D47" s="29" t="inlineStr">
        <is>
          <t>Que es</t>
        </is>
      </c>
      <c r="E47" s="29" t="inlineStr">
        <is>
          <t>Como se calcula</t>
        </is>
      </c>
      <c r="F47" s="28" t="n"/>
      <c r="G47" s="60" t="n"/>
    </row>
    <row r="48">
      <c r="A48" s="60" t="n">
        <v>1</v>
      </c>
      <c r="B48" s="60" t="inlineStr">
        <is>
          <t>GB hot del cliente</t>
        </is>
      </c>
      <c r="C48" s="28">
        <f>C22</f>
        <v/>
      </c>
      <c r="D48" s="28" t="inlineStr">
        <is>
          <t>Suma de GB hot de las familias de este cliente en PRO.</t>
        </is>
      </c>
      <c r="E48" s="28" t="inlineStr">
        <is>
          <t>Suma GB hot de la tabla PRO.</t>
        </is>
      </c>
      <c r="F48" s="28" t="n"/>
      <c r="G48" s="60" t="n"/>
    </row>
    <row r="49">
      <c r="A49" s="60" t="n">
        <v>2</v>
      </c>
      <c r="B49" s="60" t="inlineStr">
        <is>
          <t>GB hot del cluster</t>
        </is>
      </c>
      <c r="C49" s="28">
        <f>Parameters!$C$21</f>
        <v/>
      </c>
      <c r="D49" s="28" t="inlineStr">
        <is>
          <t>Denominador. Todo el hot de PRO, no solo este cliente.</t>
        </is>
      </c>
      <c r="E49" s="28" t="inlineStr">
        <is>
          <t>Parameters, suma de Measurement.</t>
        </is>
      </c>
      <c r="F49" s="28" t="n"/>
      <c r="G49" s="60" t="n"/>
    </row>
    <row r="50">
      <c r="A50" s="60" t="n">
        <v>3</v>
      </c>
      <c r="B50" s="60" t="inlineStr">
        <is>
          <t>Cuota hot</t>
        </is>
      </c>
      <c r="C50" s="33">
        <f>IF(C49=0,0,C48/C49)</f>
        <v/>
      </c>
      <c r="D50" s="28" t="inlineStr">
        <is>
          <t>Parte del hot del cluster que es de este cliente.</t>
        </is>
      </c>
      <c r="E50" s="28" t="inlineStr">
        <is>
          <t>GB hot del cliente / GB hot del cluster.</t>
        </is>
      </c>
      <c r="F50" s="28" t="n"/>
      <c r="G50" s="60" t="n"/>
    </row>
    <row r="51">
      <c r="A51" s="60" t="n">
        <v>4</v>
      </c>
      <c r="B51" s="60" t="inlineStr">
        <is>
          <t>GB frozen del cliente</t>
        </is>
      </c>
      <c r="C51" s="28">
        <f>D22</f>
        <v/>
      </c>
      <c r="D51" s="28" t="inlineStr">
        <is>
          <t>Suma de GB frozen de las familias de este cliente en PRO.</t>
        </is>
      </c>
      <c r="E51" s="28" t="inlineStr">
        <is>
          <t>Suma GB frozen de la tabla PRO.</t>
        </is>
      </c>
      <c r="F51" s="28" t="n"/>
      <c r="G51" s="60" t="n"/>
    </row>
    <row r="52">
      <c r="A52" s="60" t="n">
        <v>5</v>
      </c>
      <c r="B52" s="60" t="inlineStr">
        <is>
          <t>GB frozen del cluster</t>
        </is>
      </c>
      <c r="C52" s="28">
        <f>Parameters!$C$22</f>
        <v/>
      </c>
      <c r="D52" s="28" t="inlineStr">
        <is>
          <t>Denominador frozen de PRO.</t>
        </is>
      </c>
      <c r="E52" s="28" t="inlineStr">
        <is>
          <t>Parameters, suma de Measurement.</t>
        </is>
      </c>
      <c r="F52" s="28" t="n"/>
      <c r="G52" s="60" t="n"/>
    </row>
    <row r="53">
      <c r="A53" s="60" t="n">
        <v>6</v>
      </c>
      <c r="B53" s="60" t="inlineStr">
        <is>
          <t>Cuota frozen</t>
        </is>
      </c>
      <c r="C53" s="33">
        <f>IF(C52=0,0,C51/C52)</f>
        <v/>
      </c>
      <c r="D53" s="28" t="inlineStr">
        <is>
          <t>Parte del frozen del cluster que es de este cliente.</t>
        </is>
      </c>
      <c r="E53" s="28" t="inlineStr">
        <is>
          <t>GB frozen del cliente / GB frozen del cluster.</t>
        </is>
      </c>
      <c r="F53" s="28" t="n"/>
      <c r="G53" s="60" t="n"/>
    </row>
    <row r="54">
      <c r="A54" s="60" t="n">
        <v>7</v>
      </c>
      <c r="B54" s="60" t="inlineStr">
        <is>
          <t>ECU/h hot del cluster</t>
        </is>
      </c>
      <c r="C54" s="34">
        <f>Parameters!$C$11</f>
        <v/>
      </c>
      <c r="D54" s="28" t="inlineStr">
        <is>
          <t>Tarifa por hora de los nodos hot de PRO. El disco va incluido.</t>
        </is>
      </c>
      <c r="E54" s="28" t="inlineStr">
        <is>
          <t>Parameters. Factura Elastic Cloud.</t>
        </is>
      </c>
      <c r="F54" s="28" t="n"/>
      <c r="G54" s="60" t="n"/>
    </row>
    <row r="55">
      <c r="A55" s="60" t="n">
        <v>8</v>
      </c>
      <c r="B55" s="60" t="inlineStr">
        <is>
          <t>ECU/h hot del cliente</t>
        </is>
      </c>
      <c r="C55" s="34">
        <f>C50*C54</f>
        <v/>
      </c>
      <c r="D55" s="28" t="inlineStr">
        <is>
          <t>Coste horario del hot que le toca a este cliente.</t>
        </is>
      </c>
      <c r="E55" s="28" t="inlineStr">
        <is>
          <t>Cuota hot x ECU/h hot del cluster.</t>
        </is>
      </c>
      <c r="F55" s="28" t="n"/>
      <c r="G55" s="60" t="n"/>
    </row>
    <row r="56">
      <c r="A56" s="60" t="n">
        <v>9</v>
      </c>
      <c r="B56" s="60" t="inlineStr">
        <is>
          <t>ECU/h frozen del cluster</t>
        </is>
      </c>
      <c r="C56" s="34">
        <f>Parameters!$C$12</f>
        <v/>
      </c>
      <c r="D56" s="28" t="inlineStr">
        <is>
          <t>Tarifa por hora de los nodos frozen de PRO.</t>
        </is>
      </c>
      <c r="E56" s="28" t="inlineStr">
        <is>
          <t>Parameters. Factura Elastic Cloud.</t>
        </is>
      </c>
      <c r="F56" s="28" t="n"/>
      <c r="G56" s="60" t="n"/>
    </row>
    <row r="57">
      <c r="A57" s="60" t="n">
        <v>10</v>
      </c>
      <c r="B57" s="60" t="inlineStr">
        <is>
          <t>ECU/h frozen del cliente</t>
        </is>
      </c>
      <c r="C57" s="34">
        <f>C53*C56</f>
        <v/>
      </c>
      <c r="D57" s="28" t="inlineStr">
        <is>
          <t>Coste horario del frozen que le toca a este cliente.</t>
        </is>
      </c>
      <c r="E57" s="28" t="inlineStr">
        <is>
          <t>Cuota frozen x ECU/h frozen del cluster.</t>
        </is>
      </c>
      <c r="F57" s="28" t="n"/>
      <c r="G57" s="60" t="n"/>
    </row>
    <row r="58">
      <c r="A58" s="60" t="n">
        <v>11</v>
      </c>
      <c r="B58" s="60" t="inlineStr">
        <is>
          <t>Horas al mes</t>
        </is>
      </c>
      <c r="C58" s="35">
        <f>Parameters!$B$5</f>
        <v/>
      </c>
      <c r="D58" s="28" t="inlineStr">
        <is>
          <t>Horas del mes para pasar de ECU/hora a ECU/mes.</t>
        </is>
      </c>
      <c r="E58" s="28" t="inlineStr">
        <is>
          <t>Parameters, Horas al mes.</t>
        </is>
      </c>
      <c r="F58" s="28" t="n"/>
      <c r="G58" s="60" t="n"/>
    </row>
    <row r="59">
      <c r="A59" s="60" t="n">
        <v>12</v>
      </c>
      <c r="B59" s="60" t="inlineStr">
        <is>
          <t>ECU/mes capacidad</t>
        </is>
      </c>
      <c r="C59" s="36">
        <f>(C55+C57)*C58</f>
        <v/>
      </c>
      <c r="D59" s="28" t="inlineStr">
        <is>
          <t>Coste mensual de hot y frozen, sin snapshots ni recargo.</t>
        </is>
      </c>
      <c r="E59" s="28" t="inlineStr">
        <is>
          <t>(ECU/h hot del cliente + ECU/h frozen del cliente) x horas.</t>
        </is>
      </c>
      <c r="F59" s="28" t="n"/>
      <c r="G59" s="60" t="n"/>
    </row>
    <row r="60">
      <c r="A60" s="60" t="n">
        <v>13</v>
      </c>
      <c r="B60" s="60" t="inlineStr">
        <is>
          <t>Snapshots ECU/mes del cluster</t>
        </is>
      </c>
      <c r="C60" s="36">
        <f>Parameters!$C$23</f>
        <v/>
      </c>
      <c r="D60" s="28" t="inlineStr">
        <is>
          <t>Factura mensual de snapshots de todo PRO. Sample closed month.</t>
        </is>
      </c>
      <c r="E60" s="28" t="inlineStr">
        <is>
          <t>Parameters, snapshots ECU/mes.</t>
        </is>
      </c>
      <c r="F60" s="28" t="n"/>
      <c r="G60" s="60" t="n"/>
    </row>
    <row r="61">
      <c r="A61" s="60" t="n">
        <v>14</v>
      </c>
      <c r="B61" s="60" t="inlineStr">
        <is>
          <t>ECU/mes snapshots del cliente</t>
        </is>
      </c>
      <c r="C61" s="36">
        <f>IF(C52=0,C50*C60,C53*C60)</f>
        <v/>
      </c>
      <c r="D61" s="28" t="inlineStr">
        <is>
          <t>Parte de los snapshots que le toca. Si no hay frozen en el cluster, usa la cuota hot.</t>
        </is>
      </c>
      <c r="E61" s="28" t="inlineStr">
        <is>
          <t>Cuota frozen x snapshots. Si el frozen del cluster es 0, cuota hot x snapshots.</t>
        </is>
      </c>
      <c r="F61" s="28" t="n"/>
      <c r="G61" s="60" t="n"/>
    </row>
    <row r="62">
      <c r="A62" s="60" t="n">
        <v>15</v>
      </c>
      <c r="B62" s="60" t="inlineStr">
        <is>
          <t>ECU/mes Elastic</t>
        </is>
      </c>
      <c r="C62" s="36">
        <f>C59+C61</f>
        <v/>
      </c>
      <c r="D62" s="28" t="inlineStr">
        <is>
          <t>Coste Elastic del mes, sin recargo.</t>
        </is>
      </c>
      <c r="E62" s="28" t="inlineStr">
        <is>
          <t>ECU/mes capacidad + ECU/mes snapshots.</t>
        </is>
      </c>
      <c r="F62" s="28" t="n"/>
      <c r="G62" s="60" t="n"/>
    </row>
    <row r="63">
      <c r="A63" s="60" t="n">
        <v>16</v>
      </c>
      <c r="B63" s="60" t="inlineStr">
        <is>
          <t>Recargo</t>
        </is>
      </c>
      <c r="C63" s="33">
        <f>Parameters!$B$6</f>
        <v/>
      </c>
      <c r="D63" s="28" t="inlineStr">
        <is>
          <t>Recargo de plataforma, picos y administracion. Solo PRE y PRO.</t>
        </is>
      </c>
      <c r="E63" s="28" t="inlineStr">
        <is>
          <t>Parameters, recargo sobre PRE y PRO.</t>
        </is>
      </c>
      <c r="F63" s="28" t="n"/>
      <c r="G63" s="60" t="n"/>
    </row>
    <row r="64">
      <c r="A64" s="60" t="n">
        <v>17</v>
      </c>
      <c r="B64" s="60" t="inlineStr">
        <is>
          <t>ECU/mes recargo</t>
        </is>
      </c>
      <c r="C64" s="33">
        <f>IF(OR("PRO"="PRE","PRO"="PRO"),C62*C63,0)</f>
        <v/>
      </c>
      <c r="D64" s="28" t="inlineStr">
        <is>
          <t>ECU del recargo este mes.</t>
        </is>
      </c>
      <c r="E64" s="28" t="inlineStr">
        <is>
          <t>ECU/mes Elastic x recargo.</t>
        </is>
      </c>
      <c r="F64" s="28" t="n"/>
      <c r="G64" s="60" t="n"/>
    </row>
    <row r="65">
      <c r="A65" s="6" t="n">
        <v>18</v>
      </c>
      <c r="B65" s="6" t="inlineStr">
        <is>
          <t>ECU/mes a repercutir</t>
        </is>
      </c>
      <c r="C65" s="37">
        <f>C62+C64</f>
        <v/>
      </c>
      <c r="D65" s="31" t="inlineStr">
        <is>
          <t>Total a cobrar este mes.</t>
        </is>
      </c>
      <c r="E65" s="31" t="inlineStr">
        <is>
          <t>ECU/mes Elastic + ECU/mes recargo.</t>
        </is>
      </c>
      <c r="F65" s="28" t="n"/>
      <c r="G65" s="60" t="n"/>
    </row>
    <row r="66">
      <c r="A66" s="6" t="n">
        <v>19</v>
      </c>
      <c r="B66" s="6" t="inlineStr">
        <is>
          <t>ECU/ano</t>
        </is>
      </c>
      <c r="C66" s="37">
        <f>C65*12</f>
        <v/>
      </c>
      <c r="D66" s="31" t="inlineStr">
        <is>
          <t>Total a cobrar en 12 meses con los GB y la tarifa de hoy.</t>
        </is>
      </c>
      <c r="E66" s="31" t="inlineStr">
        <is>
          <t>ECU/mes a repercutir x 12.</t>
        </is>
      </c>
      <c r="F66" s="28" t="n"/>
      <c r="G66" s="60" t="n"/>
    </row>
    <row r="67">
      <c r="A67" s="60" t="n"/>
      <c r="B67" s="60" t="n"/>
      <c r="C67" s="28" t="n"/>
      <c r="D67" s="28" t="n"/>
      <c r="E67" s="28" t="n"/>
      <c r="F67" s="28" t="n"/>
      <c r="G67" s="60" t="n"/>
    </row>
    <row r="68">
      <c r="A68" s="59" t="inlineStr">
        <is>
          <t>Total del cliente, PRE + PRO</t>
        </is>
      </c>
      <c r="F68" s="28" t="n"/>
      <c r="G68" s="60" t="n"/>
    </row>
    <row r="69">
      <c r="A69" s="6" t="n"/>
      <c r="B69" s="6" t="inlineStr">
        <is>
          <t>ECU/mes a repercutir</t>
        </is>
      </c>
      <c r="C69" s="37">
        <f>C43+C65</f>
        <v/>
      </c>
      <c r="D69" s="31" t="inlineStr">
        <is>
          <t>Suma de lo que se cobra en PRE y en PRO este mes, recargo incluido.</t>
        </is>
      </c>
      <c r="E69" s="31" t="inlineStr">
        <is>
          <t>ECU/mes PRE + ECU/mes PRO.</t>
        </is>
      </c>
      <c r="F69" s="28" t="n"/>
      <c r="G69" s="60" t="n"/>
    </row>
    <row r="70">
      <c r="A70" s="6" t="n"/>
      <c r="B70" s="6" t="inlineStr">
        <is>
          <t>ECU/ano</t>
        </is>
      </c>
      <c r="C70" s="37">
        <f>C44+C66</f>
        <v/>
      </c>
      <c r="D70" s="31" t="inlineStr">
        <is>
          <t>Suma anual de PRE y PRO con los GB y la tarifa de hoy.</t>
        </is>
      </c>
      <c r="E70" s="31" t="inlineStr">
        <is>
          <t>ECU/ano PRE + ECU/ano PRO.</t>
        </is>
      </c>
      <c r="F70" s="28" t="n"/>
      <c r="G70" s="60" t="n"/>
    </row>
    <row r="71">
      <c r="A71" s="60" t="n"/>
      <c r="B71" s="60" t="n"/>
      <c r="C71" s="28" t="n"/>
      <c r="D71" s="28" t="n"/>
      <c r="E71" s="28" t="n"/>
      <c r="F71" s="28" t="n"/>
      <c r="G71" s="60" t="n"/>
    </row>
    <row r="72">
      <c r="A72" s="60" t="n"/>
      <c r="B72" s="60" t="n"/>
      <c r="C72" s="28" t="n"/>
      <c r="D72" s="28" t="n"/>
      <c r="E72" s="28" t="n"/>
      <c r="F72" s="28" t="n"/>
      <c r="G72" s="60" t="n"/>
    </row>
    <row r="73">
      <c r="A73" s="60" t="n"/>
      <c r="B73" s="60" t="n"/>
      <c r="C73" s="28" t="n"/>
      <c r="D73" s="28" t="n"/>
      <c r="E73" s="28" t="n"/>
      <c r="F73" s="28" t="n"/>
      <c r="G73" s="60" t="n"/>
    </row>
    <row r="74">
      <c r="A74" s="60" t="n"/>
      <c r="B74" s="60" t="n"/>
      <c r="C74" s="28" t="n"/>
      <c r="D74" s="28" t="n"/>
      <c r="E74" s="28" t="n"/>
      <c r="F74" s="28" t="n"/>
      <c r="G74" s="60" t="n"/>
    </row>
    <row r="75">
      <c r="A75" s="60" t="n"/>
      <c r="B75" s="60" t="n"/>
      <c r="C75" s="28" t="n"/>
      <c r="D75" s="28" t="n"/>
      <c r="E75" s="28" t="n"/>
      <c r="F75" s="28" t="n"/>
      <c r="G75" s="60" t="n"/>
    </row>
    <row r="76">
      <c r="A76" s="60" t="n"/>
      <c r="B76" s="60" t="n"/>
      <c r="C76" s="28" t="n"/>
      <c r="D76" s="28" t="n"/>
      <c r="E76" s="28" t="n"/>
      <c r="F76" s="28" t="n"/>
      <c r="G76" s="60" t="n"/>
    </row>
    <row r="77">
      <c r="A77" s="60" t="n"/>
      <c r="B77" s="60" t="n"/>
      <c r="C77" s="28" t="n"/>
      <c r="D77" s="28" t="n"/>
      <c r="E77" s="28" t="n"/>
      <c r="F77" s="28" t="n"/>
      <c r="G77" s="60" t="n"/>
    </row>
    <row r="78">
      <c r="A78" s="60" t="n"/>
      <c r="B78" s="60" t="n"/>
      <c r="C78" s="28" t="n"/>
      <c r="D78" s="28" t="n"/>
      <c r="E78" s="28" t="n"/>
      <c r="F78" s="28" t="n"/>
      <c r="G78" s="60" t="n"/>
    </row>
    <row r="79">
      <c r="A79" s="60" t="n"/>
      <c r="B79" s="60" t="n"/>
      <c r="C79" s="28" t="n"/>
      <c r="D79" s="28" t="n"/>
      <c r="E79" s="28" t="n"/>
      <c r="F79" s="28" t="n"/>
      <c r="G79" s="60" t="n"/>
    </row>
    <row r="80">
      <c r="A80" s="60" t="n"/>
      <c r="B80" s="60" t="n"/>
      <c r="C80" s="28" t="n"/>
      <c r="D80" s="28" t="n"/>
      <c r="E80" s="28" t="n"/>
      <c r="F80" s="28" t="n"/>
      <c r="G80" s="60" t="n"/>
    </row>
    <row r="81">
      <c r="A81" s="60" t="n"/>
      <c r="B81" s="60" t="n"/>
      <c r="C81" s="28" t="n"/>
      <c r="D81" s="28" t="n"/>
      <c r="E81" s="28" t="n"/>
      <c r="F81" s="28" t="n"/>
      <c r="G81" s="60" t="n"/>
    </row>
    <row r="82">
      <c r="A82" s="60" t="n"/>
      <c r="B82" s="60" t="n"/>
      <c r="C82" s="28" t="n"/>
      <c r="D82" s="28" t="n"/>
      <c r="E82" s="28" t="n"/>
      <c r="F82" s="28" t="n"/>
      <c r="G82" s="60" t="n"/>
    </row>
    <row r="83">
      <c r="A83" s="60" t="n"/>
      <c r="B83" s="60" t="n"/>
      <c r="C83" s="28" t="n"/>
      <c r="D83" s="28" t="n"/>
      <c r="E83" s="28" t="n"/>
      <c r="F83" s="28" t="n"/>
      <c r="G83" s="60" t="n"/>
    </row>
    <row r="84">
      <c r="A84" s="60" t="n"/>
      <c r="B84" s="60" t="n"/>
      <c r="C84" s="28" t="n"/>
      <c r="D84" s="28" t="n"/>
      <c r="E84" s="28" t="n"/>
      <c r="F84" s="28" t="n"/>
      <c r="G84" s="60" t="n"/>
    </row>
    <row r="85">
      <c r="A85" s="60" t="n"/>
      <c r="B85" s="60" t="n"/>
      <c r="C85" s="28" t="n"/>
      <c r="D85" s="28" t="n"/>
      <c r="E85" s="28" t="n"/>
      <c r="F85" s="28" t="n"/>
      <c r="G85" s="60" t="n"/>
    </row>
    <row r="86">
      <c r="A86" s="60" t="n"/>
      <c r="B86" s="60" t="n"/>
      <c r="C86" s="28" t="n"/>
      <c r="D86" s="28" t="n"/>
      <c r="E86" s="28" t="n"/>
      <c r="F86" s="28" t="n"/>
      <c r="G86" s="60" t="n"/>
    </row>
    <row r="87">
      <c r="A87" s="60" t="n"/>
      <c r="B87" s="60" t="n"/>
      <c r="C87" s="28" t="n"/>
      <c r="D87" s="28" t="n"/>
      <c r="E87" s="28" t="n"/>
      <c r="F87" s="28" t="n"/>
      <c r="G87" s="60" t="n"/>
    </row>
    <row r="88">
      <c r="A88" s="60" t="n"/>
      <c r="B88" s="60" t="n"/>
      <c r="C88" s="28" t="n"/>
      <c r="D88" s="28" t="n"/>
      <c r="E88" s="28" t="n"/>
      <c r="F88" s="28" t="n"/>
      <c r="G88" s="60" t="n"/>
    </row>
    <row r="89">
      <c r="A89" s="60" t="n"/>
      <c r="B89" s="60" t="n"/>
      <c r="C89" s="28" t="n"/>
      <c r="D89" s="28" t="n"/>
      <c r="E89" s="28" t="n"/>
      <c r="F89" s="28" t="n"/>
      <c r="G89" s="60" t="n"/>
    </row>
    <row r="90">
      <c r="A90" s="60" t="n"/>
      <c r="B90" s="60" t="n"/>
      <c r="C90" s="28" t="n"/>
      <c r="D90" s="28" t="n"/>
      <c r="E90" s="28" t="n"/>
      <c r="F90" s="28" t="n"/>
      <c r="G90" s="60" t="n"/>
    </row>
    <row r="91">
      <c r="A91" s="60" t="n"/>
      <c r="B91" s="60" t="n"/>
      <c r="C91" s="28" t="n"/>
      <c r="D91" s="28" t="n"/>
      <c r="E91" s="28" t="n"/>
      <c r="F91" s="28" t="n"/>
      <c r="G91" s="60" t="n"/>
    </row>
    <row r="92">
      <c r="A92" s="60" t="n"/>
      <c r="B92" s="60" t="n"/>
      <c r="C92" s="28" t="n"/>
      <c r="D92" s="28" t="n"/>
      <c r="E92" s="28" t="n"/>
      <c r="F92" s="28" t="n"/>
      <c r="G92" s="60" t="n"/>
    </row>
    <row r="93">
      <c r="A93" s="60" t="n"/>
      <c r="B93" s="60" t="n"/>
      <c r="C93" s="28" t="n"/>
      <c r="D93" s="28" t="n"/>
      <c r="E93" s="28" t="n"/>
      <c r="F93" s="28" t="n"/>
      <c r="G93" s="60" t="n"/>
    </row>
    <row r="94">
      <c r="A94" s="60" t="n"/>
      <c r="B94" s="60" t="n"/>
      <c r="C94" s="28" t="n"/>
      <c r="D94" s="28" t="n"/>
      <c r="E94" s="28" t="n"/>
      <c r="F94" s="28" t="n"/>
      <c r="G94" s="60" t="n"/>
    </row>
    <row r="95">
      <c r="A95" s="60" t="n"/>
      <c r="B95" s="60" t="n"/>
      <c r="C95" s="28" t="n"/>
      <c r="D95" s="28" t="n"/>
      <c r="E95" s="28" t="n"/>
      <c r="F95" s="28" t="n"/>
      <c r="G95" s="60" t="n"/>
    </row>
    <row r="96">
      <c r="A96" s="60" t="n"/>
      <c r="B96" s="60" t="n"/>
      <c r="C96" s="28" t="n"/>
      <c r="D96" s="28" t="n"/>
      <c r="E96" s="28" t="n"/>
      <c r="F96" s="28" t="n"/>
      <c r="G96" s="60" t="n"/>
    </row>
    <row r="97">
      <c r="A97" s="60" t="n"/>
      <c r="B97" s="60" t="n"/>
      <c r="C97" s="28" t="n"/>
      <c r="D97" s="28" t="n"/>
      <c r="E97" s="28" t="n"/>
      <c r="F97" s="28" t="n"/>
      <c r="G97" s="60" t="n"/>
    </row>
    <row r="98">
      <c r="A98" s="60" t="n"/>
      <c r="B98" s="60" t="n"/>
      <c r="C98" s="28" t="n"/>
      <c r="D98" s="28" t="n"/>
      <c r="E98" s="28" t="n"/>
      <c r="F98" s="28" t="n"/>
      <c r="G98" s="60" t="n"/>
    </row>
    <row r="99">
      <c r="A99" s="60" t="n"/>
      <c r="B99" s="60" t="n"/>
      <c r="C99" s="28" t="n"/>
      <c r="D99" s="28" t="n"/>
      <c r="E99" s="28" t="n"/>
      <c r="F99" s="28" t="n"/>
      <c r="G99" s="60" t="n"/>
    </row>
    <row r="100">
      <c r="A100" s="60" t="n"/>
      <c r="B100" s="60" t="n"/>
      <c r="C100" s="28" t="n"/>
      <c r="D100" s="28" t="n"/>
      <c r="E100" s="28" t="n"/>
      <c r="F100" s="28" t="n"/>
      <c r="G100" s="60" t="n"/>
    </row>
    <row r="101">
      <c r="A101" s="60" t="n"/>
      <c r="B101" s="60" t="n"/>
      <c r="C101" s="28" t="n"/>
      <c r="D101" s="28" t="n"/>
      <c r="E101" s="28" t="n"/>
      <c r="F101" s="28" t="n"/>
      <c r="G101" s="60" t="n"/>
    </row>
    <row r="102">
      <c r="A102" s="60" t="n"/>
      <c r="B102" s="60" t="n"/>
      <c r="C102" s="28" t="n"/>
      <c r="D102" s="28" t="n"/>
      <c r="E102" s="28" t="n"/>
      <c r="F102" s="28" t="n"/>
      <c r="G102" s="60" t="n"/>
    </row>
    <row r="103">
      <c r="A103" s="60" t="n"/>
      <c r="B103" s="60" t="n"/>
      <c r="C103" s="28" t="n"/>
      <c r="D103" s="28" t="n"/>
      <c r="E103" s="28" t="n"/>
      <c r="F103" s="28" t="n"/>
      <c r="G103" s="60" t="n"/>
    </row>
    <row r="104">
      <c r="A104" s="60" t="n"/>
      <c r="B104" s="60" t="n"/>
      <c r="C104" s="28" t="n"/>
      <c r="D104" s="28" t="n"/>
      <c r="E104" s="28" t="n"/>
      <c r="F104" s="28" t="n"/>
      <c r="G104" s="60" t="n"/>
    </row>
    <row r="105">
      <c r="A105" s="60" t="n"/>
      <c r="B105" s="60" t="n"/>
      <c r="C105" s="28" t="n"/>
      <c r="D105" s="28" t="n"/>
      <c r="E105" s="28" t="n"/>
      <c r="F105" s="28" t="n"/>
      <c r="G105" s="60" t="n"/>
    </row>
    <row r="106">
      <c r="A106" s="60" t="n"/>
      <c r="B106" s="60" t="n"/>
      <c r="C106" s="28" t="n"/>
      <c r="D106" s="28" t="n"/>
      <c r="E106" s="28" t="n"/>
      <c r="F106" s="28" t="n"/>
      <c r="G106" s="60" t="n"/>
    </row>
    <row r="107">
      <c r="A107" s="60" t="n"/>
      <c r="B107" s="60" t="n"/>
      <c r="C107" s="28" t="n"/>
      <c r="D107" s="28" t="n"/>
      <c r="E107" s="28" t="n"/>
      <c r="F107" s="28" t="n"/>
      <c r="G107" s="60" t="n"/>
    </row>
    <row r="108">
      <c r="A108" s="60" t="n"/>
      <c r="B108" s="60" t="n"/>
      <c r="C108" s="28" t="n"/>
      <c r="D108" s="28" t="n"/>
      <c r="E108" s="28" t="n"/>
      <c r="F108" s="28" t="n"/>
      <c r="G108" s="60" t="n"/>
    </row>
    <row r="109">
      <c r="A109" s="60" t="n"/>
      <c r="B109" s="60" t="n"/>
      <c r="C109" s="28" t="n"/>
      <c r="D109" s="28" t="n"/>
      <c r="E109" s="28" t="n"/>
      <c r="F109" s="28" t="n"/>
      <c r="G109" s="60" t="n"/>
    </row>
    <row r="110">
      <c r="A110" s="60" t="n"/>
      <c r="B110" s="60" t="n"/>
      <c r="C110" s="28" t="n"/>
      <c r="D110" s="28" t="n"/>
      <c r="E110" s="28" t="n"/>
      <c r="F110" s="28" t="n"/>
      <c r="G110" s="60" t="n"/>
    </row>
    <row r="111">
      <c r="A111" s="60" t="n"/>
      <c r="B111" s="60" t="n"/>
      <c r="C111" s="28" t="n"/>
      <c r="D111" s="28" t="n"/>
      <c r="E111" s="28" t="n"/>
      <c r="F111" s="28" t="n"/>
      <c r="G111" s="60" t="n"/>
    </row>
    <row r="112">
      <c r="A112" s="60" t="n"/>
      <c r="B112" s="60" t="n"/>
      <c r="C112" s="28" t="n"/>
      <c r="D112" s="28" t="n"/>
      <c r="E112" s="28" t="n"/>
      <c r="F112" s="28" t="n"/>
      <c r="G112" s="60" t="n"/>
    </row>
    <row r="113">
      <c r="A113" s="60" t="n"/>
      <c r="B113" s="60" t="n"/>
      <c r="C113" s="28" t="n"/>
      <c r="D113" s="28" t="n"/>
      <c r="E113" s="28" t="n"/>
      <c r="F113" s="28" t="n"/>
      <c r="G113" s="60" t="n"/>
    </row>
    <row r="114">
      <c r="A114" s="60" t="n"/>
      <c r="B114" s="60" t="n"/>
      <c r="C114" s="28" t="n"/>
      <c r="D114" s="28" t="n"/>
      <c r="E114" s="28" t="n"/>
      <c r="F114" s="28" t="n"/>
      <c r="G114" s="60" t="n"/>
    </row>
    <row r="115">
      <c r="A115" s="60" t="n"/>
      <c r="B115" s="60" t="n"/>
      <c r="C115" s="28" t="n"/>
      <c r="D115" s="28" t="n"/>
      <c r="E115" s="28" t="n"/>
      <c r="F115" s="28" t="n"/>
      <c r="G115" s="60" t="n"/>
    </row>
    <row r="116">
      <c r="A116" s="60" t="n"/>
      <c r="B116" s="60" t="n"/>
      <c r="C116" s="28" t="n"/>
      <c r="D116" s="28" t="n"/>
      <c r="E116" s="28" t="n"/>
      <c r="F116" s="28" t="n"/>
      <c r="G116" s="60" t="n"/>
    </row>
    <row r="117">
      <c r="A117" s="60" t="n"/>
      <c r="B117" s="60" t="n"/>
      <c r="C117" s="28" t="n"/>
      <c r="D117" s="28" t="n"/>
      <c r="E117" s="28" t="n"/>
      <c r="F117" s="28" t="n"/>
      <c r="G117" s="60" t="n"/>
    </row>
    <row r="118">
      <c r="A118" s="60" t="n"/>
      <c r="B118" s="60" t="n"/>
      <c r="C118" s="28" t="n"/>
      <c r="D118" s="28" t="n"/>
      <c r="E118" s="28" t="n"/>
      <c r="F118" s="28" t="n"/>
      <c r="G118" s="60" t="n"/>
    </row>
    <row r="119">
      <c r="A119" s="60" t="n"/>
      <c r="B119" s="60" t="n"/>
      <c r="C119" s="28" t="n"/>
      <c r="D119" s="28" t="n"/>
      <c r="E119" s="28" t="n"/>
      <c r="F119" s="28" t="n"/>
      <c r="G119" s="60" t="n"/>
    </row>
    <row r="120">
      <c r="A120" s="60" t="n"/>
      <c r="B120" s="60" t="n"/>
      <c r="C120" s="28" t="n"/>
      <c r="D120" s="28" t="n"/>
      <c r="E120" s="28" t="n"/>
      <c r="F120" s="28" t="n"/>
      <c r="G120" s="60" t="n"/>
    </row>
    <row r="121">
      <c r="A121" s="60" t="n"/>
      <c r="B121" s="60" t="n"/>
      <c r="C121" s="28" t="n"/>
      <c r="D121" s="28" t="n"/>
      <c r="E121" s="28" t="n"/>
      <c r="F121" s="28" t="n"/>
      <c r="G121" s="60" t="n"/>
    </row>
    <row r="122">
      <c r="A122" s="60" t="n"/>
      <c r="B122" s="60" t="n"/>
      <c r="C122" s="28" t="n"/>
      <c r="D122" s="28" t="n"/>
      <c r="E122" s="28" t="n"/>
      <c r="F122" s="28" t="n"/>
      <c r="G122" s="60" t="n"/>
    </row>
    <row r="123">
      <c r="A123" s="60" t="n"/>
      <c r="B123" s="60" t="n"/>
      <c r="C123" s="28" t="n"/>
      <c r="D123" s="28" t="n"/>
      <c r="E123" s="28" t="n"/>
      <c r="F123" s="28" t="n"/>
      <c r="G123" s="60" t="n"/>
    </row>
    <row r="124">
      <c r="A124" s="60" t="n"/>
      <c r="B124" s="60" t="n"/>
      <c r="C124" s="28" t="n"/>
      <c r="D124" s="28" t="n"/>
      <c r="E124" s="28" t="n"/>
      <c r="F124" s="28" t="n"/>
      <c r="G124" s="60" t="n"/>
    </row>
    <row r="125">
      <c r="A125" s="60" t="n"/>
      <c r="B125" s="60" t="n"/>
      <c r="C125" s="28" t="n"/>
      <c r="D125" s="28" t="n"/>
      <c r="E125" s="28" t="n"/>
      <c r="F125" s="28" t="n"/>
      <c r="G125" s="60" t="n"/>
    </row>
    <row r="126">
      <c r="A126" s="60" t="n"/>
      <c r="B126" s="60" t="n"/>
      <c r="C126" s="28" t="n"/>
      <c r="D126" s="28" t="n"/>
      <c r="E126" s="28" t="n"/>
      <c r="F126" s="28" t="n"/>
      <c r="G126" s="60" t="n"/>
    </row>
    <row r="127">
      <c r="A127" s="60" t="n"/>
      <c r="B127" s="60" t="n"/>
      <c r="C127" s="28" t="n"/>
      <c r="D127" s="28" t="n"/>
      <c r="E127" s="28" t="n"/>
      <c r="F127" s="28" t="n"/>
      <c r="G127" s="60" t="n"/>
    </row>
    <row r="128">
      <c r="A128" s="60" t="n"/>
      <c r="B128" s="60" t="n"/>
      <c r="C128" s="28" t="n"/>
      <c r="D128" s="28" t="n"/>
      <c r="E128" s="28" t="n"/>
      <c r="F128" s="28" t="n"/>
      <c r="G128" s="60" t="n"/>
    </row>
    <row r="129">
      <c r="A129" s="60" t="n"/>
      <c r="B129" s="60" t="n"/>
      <c r="C129" s="28" t="n"/>
      <c r="D129" s="28" t="n"/>
      <c r="E129" s="28" t="n"/>
      <c r="F129" s="28" t="n"/>
      <c r="G129" s="60" t="n"/>
    </row>
    <row r="130">
      <c r="A130" s="60" t="n"/>
      <c r="B130" s="60" t="n"/>
      <c r="C130" s="28" t="n"/>
      <c r="D130" s="28" t="n"/>
      <c r="E130" s="28" t="n"/>
      <c r="F130" s="28" t="n"/>
      <c r="G130" s="60" t="n"/>
    </row>
    <row r="131">
      <c r="A131" s="60" t="n"/>
      <c r="B131" s="60" t="n"/>
      <c r="C131" s="28" t="n"/>
      <c r="D131" s="28" t="n"/>
      <c r="E131" s="28" t="n"/>
      <c r="F131" s="28" t="n"/>
      <c r="G131" s="60" t="n"/>
    </row>
    <row r="132">
      <c r="A132" s="60" t="n"/>
      <c r="B132" s="60" t="n"/>
      <c r="C132" s="28" t="n"/>
      <c r="D132" s="28" t="n"/>
      <c r="E132" s="28" t="n"/>
      <c r="F132" s="28" t="n"/>
      <c r="G132" s="60" t="n"/>
    </row>
    <row r="133">
      <c r="A133" s="60" t="n"/>
      <c r="B133" s="60" t="n"/>
      <c r="C133" s="28" t="n"/>
      <c r="D133" s="28" t="n"/>
      <c r="E133" s="28" t="n"/>
      <c r="F133" s="28" t="n"/>
      <c r="G133" s="60" t="n"/>
    </row>
    <row r="134">
      <c r="A134" s="60" t="n"/>
      <c r="B134" s="60" t="n"/>
      <c r="C134" s="28" t="n"/>
      <c r="D134" s="28" t="n"/>
      <c r="E134" s="28" t="n"/>
      <c r="F134" s="28" t="n"/>
      <c r="G134" s="60" t="n"/>
    </row>
    <row r="135">
      <c r="A135" s="60" t="n"/>
      <c r="B135" s="60" t="n"/>
      <c r="C135" s="28" t="n"/>
      <c r="D135" s="28" t="n"/>
      <c r="E135" s="28" t="n"/>
      <c r="F135" s="28" t="n"/>
      <c r="G135" s="60" t="n"/>
    </row>
    <row r="136">
      <c r="A136" s="60" t="n"/>
      <c r="B136" s="60" t="n"/>
      <c r="C136" s="28" t="n"/>
      <c r="D136" s="28" t="n"/>
      <c r="E136" s="28" t="n"/>
      <c r="F136" s="28" t="n"/>
      <c r="G136" s="60" t="n"/>
    </row>
    <row r="137">
      <c r="A137" s="60" t="n"/>
      <c r="B137" s="60" t="n"/>
      <c r="C137" s="28" t="n"/>
      <c r="D137" s="28" t="n"/>
      <c r="E137" s="28" t="n"/>
      <c r="F137" s="28" t="n"/>
      <c r="G137" s="60" t="n"/>
    </row>
    <row r="138">
      <c r="A138" s="60" t="n"/>
      <c r="B138" s="60" t="n"/>
      <c r="C138" s="28" t="n"/>
      <c r="D138" s="28" t="n"/>
      <c r="E138" s="28" t="n"/>
      <c r="F138" s="28" t="n"/>
      <c r="G138" s="60" t="n"/>
    </row>
    <row r="139">
      <c r="A139" s="60" t="n"/>
      <c r="B139" s="60" t="n"/>
      <c r="C139" s="28" t="n"/>
      <c r="D139" s="28" t="n"/>
      <c r="E139" s="28" t="n"/>
      <c r="F139" s="28" t="n"/>
      <c r="G139" s="60" t="n"/>
    </row>
    <row r="140">
      <c r="A140" s="60" t="n"/>
      <c r="B140" s="60" t="n"/>
      <c r="C140" s="28" t="n"/>
      <c r="D140" s="28" t="n"/>
      <c r="E140" s="28" t="n"/>
      <c r="F140" s="28" t="n"/>
      <c r="G140" s="60" t="n"/>
    </row>
    <row r="141">
      <c r="A141" s="60" t="n"/>
      <c r="B141" s="60" t="n"/>
      <c r="C141" s="28" t="n"/>
      <c r="D141" s="28" t="n"/>
      <c r="E141" s="28" t="n"/>
      <c r="F141" s="28" t="n"/>
      <c r="G141" s="60" t="n"/>
    </row>
    <row r="142">
      <c r="A142" s="60" t="n"/>
      <c r="B142" s="60" t="n"/>
      <c r="C142" s="28" t="n"/>
      <c r="D142" s="28" t="n"/>
      <c r="E142" s="28" t="n"/>
      <c r="F142" s="28" t="n"/>
      <c r="G142" s="60" t="n"/>
    </row>
    <row r="143">
      <c r="A143" s="60" t="n"/>
      <c r="B143" s="60" t="n"/>
      <c r="C143" s="28" t="n"/>
      <c r="D143" s="28" t="n"/>
      <c r="E143" s="28" t="n"/>
      <c r="F143" s="28" t="n"/>
      <c r="G143" s="60" t="n"/>
    </row>
    <row r="144">
      <c r="A144" s="60" t="n"/>
      <c r="B144" s="60" t="n"/>
      <c r="C144" s="28" t="n"/>
      <c r="D144" s="28" t="n"/>
      <c r="E144" s="28" t="n"/>
      <c r="F144" s="28" t="n"/>
      <c r="G144" s="60" t="n"/>
    </row>
    <row r="145">
      <c r="A145" s="60" t="n"/>
      <c r="B145" s="60" t="n"/>
      <c r="C145" s="28" t="n"/>
      <c r="D145" s="28" t="n"/>
      <c r="E145" s="28" t="n"/>
      <c r="F145" s="28" t="n"/>
      <c r="G145" s="60" t="n"/>
    </row>
    <row r="146">
      <c r="A146" s="60" t="n"/>
      <c r="B146" s="60" t="n"/>
      <c r="C146" s="28" t="n"/>
      <c r="D146" s="28" t="n"/>
      <c r="E146" s="28" t="n"/>
      <c r="F146" s="28" t="n"/>
      <c r="G146" s="60" t="n"/>
    </row>
    <row r="147">
      <c r="A147" s="60" t="n"/>
      <c r="B147" s="60" t="n"/>
      <c r="C147" s="28" t="n"/>
      <c r="D147" s="28" t="n"/>
      <c r="E147" s="28" t="n"/>
      <c r="F147" s="28" t="n"/>
      <c r="G147" s="60" t="n"/>
    </row>
    <row r="148">
      <c r="A148" s="60" t="n"/>
      <c r="B148" s="60" t="n"/>
      <c r="C148" s="28" t="n"/>
      <c r="D148" s="28" t="n"/>
      <c r="E148" s="28" t="n"/>
      <c r="F148" s="28" t="n"/>
      <c r="G148" s="60" t="n"/>
    </row>
    <row r="149">
      <c r="A149" s="60" t="n"/>
      <c r="B149" s="60" t="n"/>
      <c r="C149" s="28" t="n"/>
      <c r="D149" s="28" t="n"/>
      <c r="E149" s="28" t="n"/>
      <c r="F149" s="28" t="n"/>
      <c r="G149" s="60" t="n"/>
    </row>
    <row r="150">
      <c r="A150" s="60" t="n"/>
      <c r="B150" s="60" t="n"/>
      <c r="C150" s="28" t="n"/>
      <c r="D150" s="28" t="n"/>
      <c r="E150" s="28" t="n"/>
      <c r="F150" s="28" t="n"/>
      <c r="G150" s="60" t="n"/>
    </row>
    <row r="151">
      <c r="A151" s="60" t="n"/>
      <c r="B151" s="60" t="n"/>
      <c r="C151" s="28" t="n"/>
      <c r="D151" s="28" t="n"/>
      <c r="E151" s="28" t="n"/>
      <c r="F151" s="28" t="n"/>
      <c r="G151" s="60" t="n"/>
    </row>
    <row r="152">
      <c r="A152" s="60" t="n"/>
      <c r="B152" s="60" t="n"/>
      <c r="C152" s="28" t="n"/>
      <c r="D152" s="28" t="n"/>
      <c r="E152" s="28" t="n"/>
      <c r="F152" s="28" t="n"/>
      <c r="G152" s="60" t="n"/>
    </row>
    <row r="153">
      <c r="A153" s="60" t="n"/>
      <c r="B153" s="60" t="n"/>
      <c r="C153" s="28" t="n"/>
      <c r="D153" s="28" t="n"/>
      <c r="E153" s="28" t="n"/>
      <c r="F153" s="28" t="n"/>
      <c r="G153" s="60" t="n"/>
    </row>
    <row r="154">
      <c r="A154" s="60" t="n"/>
      <c r="B154" s="60" t="n"/>
      <c r="C154" s="28" t="n"/>
      <c r="D154" s="28" t="n"/>
      <c r="E154" s="28" t="n"/>
      <c r="F154" s="28" t="n"/>
      <c r="G154" s="60" t="n"/>
    </row>
    <row r="155">
      <c r="A155" s="60" t="n"/>
      <c r="B155" s="60" t="n"/>
      <c r="C155" s="28" t="n"/>
      <c r="D155" s="28" t="n"/>
      <c r="E155" s="28" t="n"/>
      <c r="F155" s="28" t="n"/>
      <c r="G155" s="60" t="n"/>
    </row>
    <row r="156">
      <c r="A156" s="60" t="n"/>
      <c r="B156" s="60" t="n"/>
      <c r="C156" s="28" t="n"/>
      <c r="D156" s="28" t="n"/>
      <c r="E156" s="28" t="n"/>
      <c r="F156" s="28" t="n"/>
      <c r="G156" s="60" t="n"/>
    </row>
    <row r="157">
      <c r="A157" s="60" t="n"/>
      <c r="B157" s="60" t="n"/>
      <c r="C157" s="28" t="n"/>
      <c r="D157" s="28" t="n"/>
      <c r="E157" s="28" t="n"/>
      <c r="F157" s="28" t="n"/>
      <c r="G157" s="60" t="n"/>
    </row>
    <row r="158">
      <c r="A158" s="60" t="n"/>
      <c r="B158" s="60" t="n"/>
      <c r="C158" s="28" t="n"/>
      <c r="D158" s="28" t="n"/>
      <c r="E158" s="28" t="n"/>
      <c r="F158" s="28" t="n"/>
      <c r="G158" s="60" t="n"/>
    </row>
    <row r="159">
      <c r="A159" s="60" t="n"/>
      <c r="B159" s="60" t="n"/>
      <c r="C159" s="28" t="n"/>
      <c r="D159" s="28" t="n"/>
      <c r="E159" s="28" t="n"/>
      <c r="F159" s="28" t="n"/>
      <c r="G159" s="60" t="n"/>
    </row>
    <row r="160">
      <c r="A160" s="60" t="n"/>
      <c r="B160" s="60" t="n"/>
      <c r="C160" s="28" t="n"/>
      <c r="D160" s="28" t="n"/>
      <c r="E160" s="28" t="n"/>
      <c r="F160" s="28" t="n"/>
      <c r="G160" s="60" t="n"/>
    </row>
    <row r="161">
      <c r="A161" s="60" t="n"/>
      <c r="B161" s="60" t="n"/>
      <c r="C161" s="28" t="n"/>
      <c r="D161" s="28" t="n"/>
      <c r="E161" s="28" t="n"/>
      <c r="F161" s="28" t="n"/>
      <c r="G161" s="60" t="n"/>
    </row>
    <row r="162">
      <c r="A162" s="60" t="n"/>
      <c r="B162" s="60" t="n"/>
      <c r="C162" s="28" t="n"/>
      <c r="D162" s="28" t="n"/>
      <c r="E162" s="28" t="n"/>
      <c r="F162" s="28" t="n"/>
      <c r="G162" s="60" t="n"/>
    </row>
    <row r="163">
      <c r="A163" s="60" t="n"/>
      <c r="B163" s="60" t="n"/>
      <c r="C163" s="28" t="n"/>
      <c r="D163" s="28" t="n"/>
      <c r="E163" s="28" t="n"/>
      <c r="F163" s="28" t="n"/>
      <c r="G163" s="60" t="n"/>
    </row>
    <row r="164">
      <c r="A164" s="60" t="n"/>
      <c r="B164" s="60" t="n"/>
      <c r="C164" s="28" t="n"/>
      <c r="D164" s="28" t="n"/>
      <c r="E164" s="28" t="n"/>
      <c r="F164" s="28" t="n"/>
      <c r="G164" s="60" t="n"/>
    </row>
    <row r="165">
      <c r="A165" s="60" t="n"/>
      <c r="B165" s="60" t="n"/>
      <c r="C165" s="28" t="n"/>
      <c r="D165" s="28" t="n"/>
      <c r="E165" s="28" t="n"/>
      <c r="F165" s="28" t="n"/>
      <c r="G165" s="60" t="n"/>
    </row>
    <row r="166">
      <c r="A166" s="60" t="n"/>
      <c r="B166" s="60" t="n"/>
      <c r="C166" s="28" t="n"/>
      <c r="D166" s="28" t="n"/>
      <c r="E166" s="28" t="n"/>
      <c r="F166" s="28" t="n"/>
      <c r="G166" s="60" t="n"/>
    </row>
    <row r="167">
      <c r="A167" s="60" t="n"/>
      <c r="B167" s="60" t="n"/>
      <c r="C167" s="28" t="n"/>
      <c r="D167" s="28" t="n"/>
      <c r="E167" s="28" t="n"/>
      <c r="F167" s="28" t="n"/>
      <c r="G167" s="60" t="n"/>
    </row>
    <row r="168">
      <c r="A168" s="60" t="n"/>
      <c r="B168" s="60" t="n"/>
      <c r="C168" s="28" t="n"/>
      <c r="D168" s="28" t="n"/>
      <c r="E168" s="28" t="n"/>
      <c r="F168" s="28" t="n"/>
      <c r="G168" s="60" t="n"/>
    </row>
    <row r="169">
      <c r="A169" s="60" t="n"/>
      <c r="B169" s="60" t="n"/>
      <c r="C169" s="28" t="n"/>
      <c r="D169" s="28" t="n"/>
      <c r="E169" s="28" t="n"/>
      <c r="F169" s="28" t="n"/>
      <c r="G169" s="60" t="n"/>
    </row>
    <row r="170">
      <c r="A170" s="60" t="n"/>
      <c r="B170" s="60" t="n"/>
      <c r="C170" s="28" t="n"/>
      <c r="D170" s="28" t="n"/>
      <c r="E170" s="28" t="n"/>
      <c r="F170" s="28" t="n"/>
      <c r="G170" s="60" t="n"/>
    </row>
    <row r="171">
      <c r="A171" s="60" t="n"/>
      <c r="B171" s="60" t="n"/>
      <c r="C171" s="28" t="n"/>
      <c r="D171" s="28" t="n"/>
      <c r="E171" s="28" t="n"/>
      <c r="F171" s="28" t="n"/>
      <c r="G171" s="60" t="n"/>
    </row>
    <row r="172">
      <c r="A172" s="60" t="n"/>
      <c r="B172" s="60" t="n"/>
      <c r="C172" s="28" t="n"/>
      <c r="D172" s="28" t="n"/>
      <c r="E172" s="28" t="n"/>
      <c r="F172" s="28" t="n"/>
      <c r="G172" s="60" t="n"/>
    </row>
    <row r="173">
      <c r="A173" s="60" t="n"/>
      <c r="B173" s="60" t="n"/>
      <c r="C173" s="28" t="n"/>
      <c r="D173" s="28" t="n"/>
      <c r="E173" s="28" t="n"/>
      <c r="F173" s="28" t="n"/>
      <c r="G173" s="60" t="n"/>
    </row>
    <row r="174">
      <c r="A174" s="60" t="n"/>
      <c r="B174" s="60" t="n"/>
      <c r="C174" s="28" t="n"/>
      <c r="D174" s="28" t="n"/>
      <c r="E174" s="28" t="n"/>
      <c r="F174" s="28" t="n"/>
      <c r="G174" s="60" t="n"/>
    </row>
    <row r="175">
      <c r="A175" s="60" t="n"/>
      <c r="B175" s="60" t="n"/>
      <c r="C175" s="28" t="n"/>
      <c r="D175" s="28" t="n"/>
      <c r="E175" s="28" t="n"/>
      <c r="F175" s="28" t="n"/>
      <c r="G175" s="60" t="n"/>
    </row>
    <row r="176">
      <c r="A176" s="60" t="n"/>
      <c r="B176" s="60" t="n"/>
      <c r="C176" s="28" t="n"/>
      <c r="D176" s="28" t="n"/>
      <c r="E176" s="28" t="n"/>
      <c r="F176" s="28" t="n"/>
      <c r="G176" s="60" t="n"/>
    </row>
    <row r="177">
      <c r="A177" s="60" t="n"/>
      <c r="B177" s="60" t="n"/>
      <c r="C177" s="28" t="n"/>
      <c r="D177" s="28" t="n"/>
      <c r="E177" s="28" t="n"/>
      <c r="F177" s="28" t="n"/>
      <c r="G177" s="60" t="n"/>
    </row>
    <row r="178">
      <c r="A178" s="60" t="n"/>
      <c r="B178" s="60" t="n"/>
      <c r="C178" s="28" t="n"/>
      <c r="D178" s="28" t="n"/>
      <c r="E178" s="28" t="n"/>
      <c r="F178" s="28" t="n"/>
      <c r="G178" s="60" t="n"/>
    </row>
    <row r="179">
      <c r="A179" s="60" t="n"/>
      <c r="B179" s="60" t="n"/>
      <c r="C179" s="28" t="n"/>
      <c r="D179" s="28" t="n"/>
      <c r="E179" s="28" t="n"/>
      <c r="F179" s="28" t="n"/>
      <c r="G179" s="60" t="n"/>
    </row>
    <row r="180">
      <c r="A180" s="60" t="n"/>
      <c r="B180" s="60" t="n"/>
      <c r="C180" s="28" t="n"/>
      <c r="D180" s="28" t="n"/>
      <c r="E180" s="28" t="n"/>
      <c r="F180" s="28" t="n"/>
      <c r="G180" s="60" t="n"/>
    </row>
    <row r="181">
      <c r="A181" s="60" t="n"/>
      <c r="B181" s="60" t="n"/>
      <c r="C181" s="28" t="n"/>
      <c r="D181" s="28" t="n"/>
      <c r="E181" s="28" t="n"/>
      <c r="F181" s="28" t="n"/>
      <c r="G181" s="60" t="n"/>
    </row>
    <row r="182">
      <c r="A182" s="60" t="n"/>
      <c r="B182" s="60" t="n"/>
      <c r="C182" s="28" t="n"/>
      <c r="D182" s="28" t="n"/>
      <c r="E182" s="28" t="n"/>
      <c r="F182" s="28" t="n"/>
      <c r="G182" s="60" t="n"/>
    </row>
    <row r="183">
      <c r="A183" s="60" t="n"/>
      <c r="B183" s="60" t="n"/>
      <c r="C183" s="28" t="n"/>
      <c r="D183" s="28" t="n"/>
      <c r="E183" s="28" t="n"/>
      <c r="F183" s="28" t="n"/>
      <c r="G183" s="60" t="n"/>
    </row>
    <row r="184">
      <c r="A184" s="60" t="n"/>
      <c r="B184" s="60" t="n"/>
      <c r="C184" s="28" t="n"/>
      <c r="D184" s="28" t="n"/>
      <c r="E184" s="28" t="n"/>
      <c r="F184" s="28" t="n"/>
      <c r="G184" s="60" t="n"/>
    </row>
    <row r="185">
      <c r="A185" s="60" t="n"/>
      <c r="B185" s="60" t="n"/>
      <c r="C185" s="28" t="n"/>
      <c r="D185" s="28" t="n"/>
      <c r="E185" s="28" t="n"/>
      <c r="F185" s="28" t="n"/>
      <c r="G185" s="60" t="n"/>
    </row>
    <row r="186">
      <c r="A186" s="60" t="n"/>
      <c r="B186" s="60" t="n"/>
      <c r="C186" s="28" t="n"/>
      <c r="D186" s="28" t="n"/>
      <c r="E186" s="28" t="n"/>
      <c r="F186" s="28" t="n"/>
      <c r="G186" s="60" t="n"/>
    </row>
    <row r="187">
      <c r="A187" s="60" t="n"/>
      <c r="B187" s="60" t="n"/>
      <c r="C187" s="28" t="n"/>
      <c r="D187" s="28" t="n"/>
      <c r="E187" s="28" t="n"/>
      <c r="F187" s="28" t="n"/>
      <c r="G187" s="60" t="n"/>
    </row>
    <row r="188">
      <c r="A188" s="60" t="n"/>
      <c r="B188" s="60" t="n"/>
      <c r="C188" s="28" t="n"/>
      <c r="D188" s="28" t="n"/>
      <c r="E188" s="28" t="n"/>
      <c r="F188" s="28" t="n"/>
      <c r="G188" s="60" t="n"/>
    </row>
    <row r="189">
      <c r="A189" s="60" t="n"/>
      <c r="B189" s="60" t="n"/>
      <c r="C189" s="28" t="n"/>
      <c r="D189" s="28" t="n"/>
      <c r="E189" s="28" t="n"/>
      <c r="F189" s="28" t="n"/>
      <c r="G189" s="60" t="n"/>
    </row>
    <row r="190">
      <c r="A190" s="60" t="n"/>
      <c r="B190" s="60" t="n"/>
      <c r="C190" s="28" t="n"/>
      <c r="D190" s="28" t="n"/>
      <c r="E190" s="28" t="n"/>
      <c r="F190" s="28" t="n"/>
      <c r="G190" s="60" t="n"/>
    </row>
    <row r="191">
      <c r="A191" s="60" t="n"/>
      <c r="B191" s="60" t="n"/>
      <c r="C191" s="28" t="n"/>
      <c r="D191" s="28" t="n"/>
      <c r="E191" s="28" t="n"/>
      <c r="F191" s="28" t="n"/>
      <c r="G191" s="60" t="n"/>
    </row>
    <row r="192">
      <c r="A192" s="60" t="n"/>
      <c r="B192" s="60" t="n"/>
      <c r="C192" s="28" t="n"/>
      <c r="D192" s="28" t="n"/>
      <c r="E192" s="28" t="n"/>
      <c r="F192" s="28" t="n"/>
      <c r="G192" s="60" t="n"/>
    </row>
    <row r="193">
      <c r="A193" s="60" t="n"/>
      <c r="B193" s="60" t="n"/>
      <c r="C193" s="28" t="n"/>
      <c r="D193" s="28" t="n"/>
      <c r="E193" s="28" t="n"/>
      <c r="F193" s="28" t="n"/>
      <c r="G193" s="60" t="n"/>
    </row>
    <row r="194">
      <c r="A194" s="60" t="n"/>
      <c r="B194" s="60" t="n"/>
      <c r="C194" s="28" t="n"/>
      <c r="D194" s="28" t="n"/>
      <c r="E194" s="28" t="n"/>
      <c r="F194" s="28" t="n"/>
      <c r="G194" s="60" t="n"/>
    </row>
    <row r="195">
      <c r="A195" s="60" t="n"/>
      <c r="B195" s="60" t="n"/>
      <c r="C195" s="28" t="n"/>
      <c r="D195" s="28" t="n"/>
      <c r="E195" s="28" t="n"/>
      <c r="F195" s="28" t="n"/>
      <c r="G195" s="60" t="n"/>
    </row>
    <row r="196">
      <c r="A196" s="60" t="n"/>
      <c r="B196" s="60" t="n"/>
      <c r="C196" s="28" t="n"/>
      <c r="D196" s="28" t="n"/>
      <c r="E196" s="28" t="n"/>
      <c r="F196" s="28" t="n"/>
      <c r="G196" s="60" t="n"/>
    </row>
    <row r="197">
      <c r="A197" s="60" t="n"/>
      <c r="B197" s="60" t="n"/>
      <c r="C197" s="28" t="n"/>
      <c r="D197" s="28" t="n"/>
      <c r="E197" s="28" t="n"/>
      <c r="F197" s="28" t="n"/>
      <c r="G197" s="60" t="n"/>
    </row>
    <row r="198">
      <c r="A198" s="60" t="n"/>
      <c r="B198" s="60" t="n"/>
      <c r="C198" s="28" t="n"/>
      <c r="D198" s="28" t="n"/>
      <c r="E198" s="28" t="n"/>
      <c r="F198" s="28" t="n"/>
      <c r="G198" s="60" t="n"/>
    </row>
    <row r="199">
      <c r="A199" s="60" t="n"/>
      <c r="B199" s="60" t="n"/>
      <c r="C199" s="28" t="n"/>
      <c r="D199" s="28" t="n"/>
      <c r="E199" s="28" t="n"/>
      <c r="F199" s="28" t="n"/>
      <c r="G199" s="60" t="n"/>
    </row>
    <row r="200">
      <c r="A200" s="60" t="n"/>
      <c r="B200" s="60" t="n"/>
      <c r="C200" s="28" t="n"/>
      <c r="D200" s="28" t="n"/>
      <c r="E200" s="28" t="n"/>
      <c r="F200" s="28" t="n"/>
      <c r="G200" s="60" t="n"/>
    </row>
  </sheetData>
  <mergeCells count="6">
    <mergeCell ref="A24:E24"/>
    <mergeCell ref="A68:E68"/>
    <mergeCell ref="A4:G4"/>
    <mergeCell ref="A2:G2"/>
    <mergeCell ref="A46:E46"/>
    <mergeCell ref="A15:G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10" defaultRowHeight="15"/>
  <cols>
    <col width="28.7109375" customWidth="1" style="58" min="1" max="1"/>
    <col width="36.7109375" customWidth="1" style="58" min="2" max="2"/>
    <col width="18.7109375" customWidth="1" style="32" min="3" max="3"/>
    <col width="78.7109375" customWidth="1" style="32" min="4" max="4"/>
    <col width="62.7109375" customWidth="1" style="32" min="5" max="5"/>
    <col width="14.7109375" customWidth="1" style="32" min="6" max="6"/>
    <col width="70.7109375" customWidth="1" style="58" min="7" max="7"/>
  </cols>
  <sheetData>
    <row r="1" ht="21" customHeight="1" s="58">
      <c r="A1" s="1" t="inlineStr">
        <is>
          <t>Kubernetes OnPrem</t>
        </is>
      </c>
      <c r="B1" s="60" t="n"/>
      <c r="C1" s="28" t="n"/>
      <c r="D1" s="28" t="n"/>
      <c r="E1" s="28" t="n"/>
      <c r="F1" s="28" t="n"/>
      <c r="G1" s="60" t="n"/>
    </row>
    <row r="2" ht="48" customHeight="1" s="58">
      <c r="A2" s="61" t="inlineStr">
        <is>
          <t>Cliente Kubernetes on-prem en PRE y en PRO. Incluye tst, dev y la familia sso porque el patron onprem las agrupa. Las filas amarillas vacias sirven para anadir otra familia del mismo cliente.</t>
        </is>
      </c>
    </row>
    <row r="3">
      <c r="A3" s="60" t="n"/>
      <c r="B3" s="60" t="n"/>
      <c r="C3" s="28" t="n"/>
      <c r="D3" s="28" t="n"/>
      <c r="E3" s="28" t="n"/>
      <c r="F3" s="28" t="n"/>
      <c r="G3" s="60" t="n"/>
    </row>
    <row r="4">
      <c r="A4" s="59" t="inlineStr">
        <is>
          <t>Familias PRE. Cada fila amarilla es una familia de Measurement.</t>
        </is>
      </c>
    </row>
    <row r="5">
      <c r="A5" s="5" t="inlineStr">
        <is>
          <t>Familia</t>
        </is>
      </c>
      <c r="B5" s="5" t="inlineStr">
        <is>
          <t>Entorno</t>
        </is>
      </c>
      <c r="C5" s="29" t="inlineStr">
        <is>
          <t>GB hot</t>
        </is>
      </c>
      <c r="D5" s="29" t="inlineStr">
        <is>
          <t>GB frozen</t>
        </is>
      </c>
      <c r="E5" s="29" t="inlineStr">
        <is>
          <t>Eventos/s 15 min</t>
        </is>
      </c>
      <c r="F5" s="29" t="inlineStr">
        <is>
          <t>KB/doc</t>
        </is>
      </c>
      <c r="G5" s="5" t="inlineStr">
        <is>
          <t>Que es</t>
        </is>
      </c>
    </row>
    <row r="6" ht="48" customHeight="1" s="58">
      <c r="A6" s="61" t="inlineStr">
        <is>
          <t>Nombre exacto de la columna Familia en Measurement. La celda amarilla se cambia para otro cliente.</t>
        </is>
      </c>
      <c r="B6" s="61" t="inlineStr">
        <is>
          <t>Cluster de esa familia. Sale de Measurement y elige la tarifa y el denominador.</t>
        </is>
      </c>
      <c r="C6" s="30" t="inlineStr">
        <is>
          <t>GB de dataset en nodos hot de esta familia. Measurement columna GB hot.</t>
        </is>
      </c>
      <c r="D6" s="30" t="inlineStr">
        <is>
          <t>GB de dataset en nodos frozen de esta familia. Measurement columna GB frozen.</t>
        </is>
      </c>
      <c r="E6" s="30" t="inlineStr">
        <is>
          <t>Documentos con @timestamp en los ultimos 15 minutos, dividido entre 900. No entra en el ECU.</t>
        </is>
      </c>
      <c r="F6" s="30" t="inlineStr">
        <is>
          <t>Bytes de dataset primario / documentos / 1024. No entra en el ECU.</t>
        </is>
      </c>
      <c r="G6" s="61" t="inlineStr">
        <is>
          <t>Texto medido de Measurement. Dice que patron es. Si pone No esta en Measurement, el nombre no coincide.</t>
        </is>
      </c>
    </row>
    <row r="7">
      <c r="A7" s="4" t="inlineStr">
        <is>
          <t>pre-k8s-onprem-applogs-tst</t>
        </is>
      </c>
      <c r="B7" s="60">
        <f>IF(A7="","",IFERROR(INDEX(Measurement!B:B,MATCH(A7,Measurement!A:A,0)),""))</f>
        <v/>
      </c>
      <c r="C7" s="28">
        <f>IF(A7="","",SUMIF(Measurement!A:A,A7,Measurement!G:G))</f>
        <v/>
      </c>
      <c r="D7" s="28">
        <f>IF(A7="","",SUMIF(Measurement!A:A,A7,Measurement!H:H))</f>
        <v/>
      </c>
      <c r="E7" s="28">
        <f>IF(A7="","",SUMIF(Measurement!A:A,A7,Measurement!D:D))</f>
        <v/>
      </c>
      <c r="F7" s="28">
        <f>IF(A7="","",SUMIF(Measurement!A:A,A7,Measurement!E:E))</f>
        <v/>
      </c>
      <c r="G7" s="60">
        <f>IF(A7="","",IFERROR(INDEX(Measurement!C:C,MATCH(A7,Measurement!A:A,0)),"No esta en Measurement"))</f>
        <v/>
      </c>
    </row>
    <row r="8">
      <c r="A8" s="4" t="inlineStr">
        <is>
          <t>pre-k8s-onprem-applogs-dev</t>
        </is>
      </c>
      <c r="B8" s="60">
        <f>IF(A8="","",IFERROR(INDEX(Measurement!B:B,MATCH(A8,Measurement!A:A,0)),""))</f>
        <v/>
      </c>
      <c r="C8" s="28">
        <f>IF(A8="","",SUMIF(Measurement!A:A,A8,Measurement!G:G))</f>
        <v/>
      </c>
      <c r="D8" s="28">
        <f>IF(A8="","",SUMIF(Measurement!A:A,A8,Measurement!H:H))</f>
        <v/>
      </c>
      <c r="E8" s="28">
        <f>IF(A8="","",SUMIF(Measurement!A:A,A8,Measurement!D:D))</f>
        <v/>
      </c>
      <c r="F8" s="28">
        <f>IF(A8="","",SUMIF(Measurement!A:A,A8,Measurement!E:E))</f>
        <v/>
      </c>
      <c r="G8" s="60">
        <f>IF(A8="","",IFERROR(INDEX(Measurement!C:C,MATCH(A8,Measurement!A:A,0)),"No esta en Measurement"))</f>
        <v/>
      </c>
    </row>
    <row r="9">
      <c r="A9" s="4" t="inlineStr">
        <is>
          <t>pre-k8s-onprem-applogs</t>
        </is>
      </c>
      <c r="B9" s="60">
        <f>IF(A9="","",IFERROR(INDEX(Measurement!B:B,MATCH(A9,Measurement!A:A,0)),""))</f>
        <v/>
      </c>
      <c r="C9" s="28">
        <f>IF(A9="","",SUMIF(Measurement!A:A,A9,Measurement!G:G))</f>
        <v/>
      </c>
      <c r="D9" s="28">
        <f>IF(A9="","",SUMIF(Measurement!A:A,A9,Measurement!H:H))</f>
        <v/>
      </c>
      <c r="E9" s="28">
        <f>IF(A9="","",SUMIF(Measurement!A:A,A9,Measurement!D:D))</f>
        <v/>
      </c>
      <c r="F9" s="28">
        <f>IF(A9="","",SUMIF(Measurement!A:A,A9,Measurement!E:E))</f>
        <v/>
      </c>
      <c r="G9" s="60">
        <f>IF(A9="","",IFERROR(INDEX(Measurement!C:C,MATCH(A9,Measurement!A:A,0)),"No esta en Measurement"))</f>
        <v/>
      </c>
    </row>
    <row r="10">
      <c r="A10" s="4" t="n"/>
      <c r="B10" s="60">
        <f>IF(A10="","",IFERROR(INDEX(Measurement!B:B,MATCH(A10,Measurement!A:A,0)),""))</f>
        <v/>
      </c>
      <c r="C10" s="28">
        <f>IF(A10="","",SUMIF(Measurement!A:A,A10,Measurement!G:G))</f>
        <v/>
      </c>
      <c r="D10" s="28">
        <f>IF(A10="","",SUMIF(Measurement!A:A,A10,Measurement!H:H))</f>
        <v/>
      </c>
      <c r="E10" s="28">
        <f>IF(A10="","",SUMIF(Measurement!A:A,A10,Measurement!D:D))</f>
        <v/>
      </c>
      <c r="F10" s="28">
        <f>IF(A10="","",SUMIF(Measurement!A:A,A10,Measurement!E:E))</f>
        <v/>
      </c>
      <c r="G10" s="60">
        <f>IF(A10="","",IFERROR(INDEX(Measurement!C:C,MATCH(A10,Measurement!A:A,0)),"No esta en Measurement"))</f>
        <v/>
      </c>
    </row>
    <row r="11">
      <c r="A11" s="4" t="n"/>
      <c r="B11" s="60">
        <f>IF(A11="","",IFERROR(INDEX(Measurement!B:B,MATCH(A11,Measurement!A:A,0)),""))</f>
        <v/>
      </c>
      <c r="C11" s="28">
        <f>IF(A11="","",SUMIF(Measurement!A:A,A11,Measurement!G:G))</f>
        <v/>
      </c>
      <c r="D11" s="28">
        <f>IF(A11="","",SUMIF(Measurement!A:A,A11,Measurement!H:H))</f>
        <v/>
      </c>
      <c r="E11" s="28">
        <f>IF(A11="","",SUMIF(Measurement!A:A,A11,Measurement!D:D))</f>
        <v/>
      </c>
      <c r="F11" s="28">
        <f>IF(A11="","",SUMIF(Measurement!A:A,A11,Measurement!E:E))</f>
        <v/>
      </c>
      <c r="G11" s="60">
        <f>IF(A11="","",IFERROR(INDEX(Measurement!C:C,MATCH(A11,Measurement!A:A,0)),"No esta en Measurement"))</f>
        <v/>
      </c>
    </row>
    <row r="12">
      <c r="A12" s="6" t="inlineStr">
        <is>
          <t>Suma</t>
        </is>
      </c>
      <c r="B12" s="6" t="n"/>
      <c r="C12" s="31">
        <f>SUM(C7:C11)</f>
        <v/>
      </c>
      <c r="D12" s="31">
        <f>SUM(D7:D11)</f>
        <v/>
      </c>
      <c r="E12" s="31">
        <f>SUM(E7:E11)</f>
        <v/>
      </c>
      <c r="F12" s="31" t="n"/>
      <c r="G12" s="6" t="n"/>
    </row>
    <row r="13">
      <c r="A13" s="60" t="n"/>
      <c r="B13" s="60" t="n"/>
      <c r="C13" s="28" t="n"/>
      <c r="D13" s="28" t="n"/>
      <c r="E13" s="28" t="n"/>
      <c r="F13" s="28" t="n"/>
      <c r="G13" s="60" t="n"/>
    </row>
    <row r="14">
      <c r="A14" s="59" t="inlineStr">
        <is>
          <t>Familias PRO. Cada fila amarilla es una familia de Measurement.</t>
        </is>
      </c>
    </row>
    <row r="15">
      <c r="A15" s="5" t="inlineStr">
        <is>
          <t>Familia</t>
        </is>
      </c>
      <c r="B15" s="5" t="inlineStr">
        <is>
          <t>Entorno</t>
        </is>
      </c>
      <c r="C15" s="29" t="inlineStr">
        <is>
          <t>GB hot</t>
        </is>
      </c>
      <c r="D15" s="29" t="inlineStr">
        <is>
          <t>GB frozen</t>
        </is>
      </c>
      <c r="E15" s="29" t="inlineStr">
        <is>
          <t>Eventos/s 15 min</t>
        </is>
      </c>
      <c r="F15" s="29" t="inlineStr">
        <is>
          <t>KB/doc</t>
        </is>
      </c>
      <c r="G15" s="5" t="inlineStr">
        <is>
          <t>Que es</t>
        </is>
      </c>
    </row>
    <row r="16" ht="48" customHeight="1" s="58">
      <c r="A16" s="61" t="inlineStr">
        <is>
          <t>Nombre exacto de la columna Familia en Measurement. La celda amarilla se cambia para otro cliente.</t>
        </is>
      </c>
      <c r="B16" s="61" t="inlineStr">
        <is>
          <t>Cluster de esa familia. Sale de Measurement y elige la tarifa y el denominador.</t>
        </is>
      </c>
      <c r="C16" s="30" t="inlineStr">
        <is>
          <t>GB de dataset en nodos hot de esta familia. Measurement columna GB hot.</t>
        </is>
      </c>
      <c r="D16" s="30" t="inlineStr">
        <is>
          <t>GB de dataset en nodos frozen de esta familia. Measurement columna GB frozen.</t>
        </is>
      </c>
      <c r="E16" s="30" t="inlineStr">
        <is>
          <t>Documentos con @timestamp en los ultimos 15 minutos, dividido entre 900. No entra en el ECU.</t>
        </is>
      </c>
      <c r="F16" s="30" t="inlineStr">
        <is>
          <t>Bytes de dataset primario / documentos / 1024. No entra en el ECU.</t>
        </is>
      </c>
      <c r="G16" s="61" t="inlineStr">
        <is>
          <t>Texto medido de Measurement. Dice que patron es. Si pone No esta en Measurement, el nombre no coincide.</t>
        </is>
      </c>
    </row>
    <row r="17">
      <c r="A17" s="4" t="inlineStr">
        <is>
          <t>pro-k8s-onprem-applogs</t>
        </is>
      </c>
      <c r="B17" s="60">
        <f>IF(A17="","",IFERROR(INDEX(Measurement!B:B,MATCH(A17,Measurement!A:A,0)),""))</f>
        <v/>
      </c>
      <c r="C17" s="28">
        <f>IF(A17="","",SUMIF(Measurement!A:A,A17,Measurement!G:G))</f>
        <v/>
      </c>
      <c r="D17" s="28">
        <f>IF(A17="","",SUMIF(Measurement!A:A,A17,Measurement!H:H))</f>
        <v/>
      </c>
      <c r="E17" s="28">
        <f>IF(A17="","",SUMIF(Measurement!A:A,A17,Measurement!D:D))</f>
        <v/>
      </c>
      <c r="F17" s="28">
        <f>IF(A17="","",SUMIF(Measurement!A:A,A17,Measurement!E:E))</f>
        <v/>
      </c>
      <c r="G17" s="60">
        <f>IF(A17="","",IFERROR(INDEX(Measurement!C:C,MATCH(A17,Measurement!A:A,0)),"No esta en Measurement"))</f>
        <v/>
      </c>
    </row>
    <row r="18">
      <c r="A18" s="4" t="inlineStr">
        <is>
          <t>pro-k8s-onprem-applogs-sso</t>
        </is>
      </c>
      <c r="B18" s="60">
        <f>IF(A18="","",IFERROR(INDEX(Measurement!B:B,MATCH(A18,Measurement!A:A,0)),""))</f>
        <v/>
      </c>
      <c r="C18" s="28">
        <f>IF(A18="","",SUMIF(Measurement!A:A,A18,Measurement!G:G))</f>
        <v/>
      </c>
      <c r="D18" s="28">
        <f>IF(A18="","",SUMIF(Measurement!A:A,A18,Measurement!H:H))</f>
        <v/>
      </c>
      <c r="E18" s="28">
        <f>IF(A18="","",SUMIF(Measurement!A:A,A18,Measurement!D:D))</f>
        <v/>
      </c>
      <c r="F18" s="28">
        <f>IF(A18="","",SUMIF(Measurement!A:A,A18,Measurement!E:E))</f>
        <v/>
      </c>
      <c r="G18" s="60">
        <f>IF(A18="","",IFERROR(INDEX(Measurement!C:C,MATCH(A18,Measurement!A:A,0)),"No esta en Measurement"))</f>
        <v/>
      </c>
    </row>
    <row r="19">
      <c r="A19" s="4" t="n"/>
      <c r="B19" s="60">
        <f>IF(A19="","",IFERROR(INDEX(Measurement!B:B,MATCH(A19,Measurement!A:A,0)),""))</f>
        <v/>
      </c>
      <c r="C19" s="28">
        <f>IF(A19="","",SUMIF(Measurement!A:A,A19,Measurement!G:G))</f>
        <v/>
      </c>
      <c r="D19" s="28">
        <f>IF(A19="","",SUMIF(Measurement!A:A,A19,Measurement!H:H))</f>
        <v/>
      </c>
      <c r="E19" s="28">
        <f>IF(A19="","",SUMIF(Measurement!A:A,A19,Measurement!D:D))</f>
        <v/>
      </c>
      <c r="F19" s="28">
        <f>IF(A19="","",SUMIF(Measurement!A:A,A19,Measurement!E:E))</f>
        <v/>
      </c>
      <c r="G19" s="60">
        <f>IF(A19="","",IFERROR(INDEX(Measurement!C:C,MATCH(A19,Measurement!A:A,0)),"No esta en Measurement"))</f>
        <v/>
      </c>
    </row>
    <row r="20">
      <c r="A20" s="4" t="n"/>
      <c r="B20" s="60">
        <f>IF(A20="","",IFERROR(INDEX(Measurement!B:B,MATCH(A20,Measurement!A:A,0)),""))</f>
        <v/>
      </c>
      <c r="C20" s="28">
        <f>IF(A20="","",SUMIF(Measurement!A:A,A20,Measurement!G:G))</f>
        <v/>
      </c>
      <c r="D20" s="28">
        <f>IF(A20="","",SUMIF(Measurement!A:A,A20,Measurement!H:H))</f>
        <v/>
      </c>
      <c r="E20" s="28">
        <f>IF(A20="","",SUMIF(Measurement!A:A,A20,Measurement!D:D))</f>
        <v/>
      </c>
      <c r="F20" s="28">
        <f>IF(A20="","",SUMIF(Measurement!A:A,A20,Measurement!E:E))</f>
        <v/>
      </c>
      <c r="G20" s="60">
        <f>IF(A20="","",IFERROR(INDEX(Measurement!C:C,MATCH(A20,Measurement!A:A,0)),"No esta en Measurement"))</f>
        <v/>
      </c>
    </row>
    <row r="21">
      <c r="A21" s="6" t="inlineStr">
        <is>
          <t>Suma</t>
        </is>
      </c>
      <c r="B21" s="6" t="n"/>
      <c r="C21" s="31">
        <f>SUM(C17:C20)</f>
        <v/>
      </c>
      <c r="D21" s="31">
        <f>SUM(D17:D20)</f>
        <v/>
      </c>
      <c r="E21" s="31">
        <f>SUM(E17:E20)</f>
        <v/>
      </c>
      <c r="F21" s="31" t="n"/>
      <c r="G21" s="6" t="n"/>
    </row>
    <row r="22">
      <c r="A22" s="60" t="n"/>
      <c r="B22" s="60" t="n"/>
      <c r="C22" s="28" t="n"/>
      <c r="D22" s="28" t="n"/>
      <c r="E22" s="28" t="n"/>
      <c r="F22" s="28" t="n"/>
      <c r="G22" s="60" t="n"/>
    </row>
    <row r="23">
      <c r="A23" s="59" t="inlineStr">
        <is>
          <t>Calculo PRE</t>
        </is>
      </c>
      <c r="F23" s="28" t="n"/>
      <c r="G23" s="60" t="n"/>
    </row>
    <row r="24">
      <c r="A24" s="5" t="inlineStr">
        <is>
          <t>Paso</t>
        </is>
      </c>
      <c r="B24" s="5" t="inlineStr">
        <is>
          <t>Casilla</t>
        </is>
      </c>
      <c r="C24" s="29" t="inlineStr">
        <is>
          <t>Valor</t>
        </is>
      </c>
      <c r="D24" s="29" t="inlineStr">
        <is>
          <t>Que es</t>
        </is>
      </c>
      <c r="E24" s="29" t="inlineStr">
        <is>
          <t>Como se calcula</t>
        </is>
      </c>
      <c r="F24" s="28" t="n"/>
      <c r="G24" s="60" t="n"/>
    </row>
    <row r="25">
      <c r="A25" s="60" t="n">
        <v>1</v>
      </c>
      <c r="B25" s="60" t="inlineStr">
        <is>
          <t>GB hot del cliente</t>
        </is>
      </c>
      <c r="C25" s="28">
        <f>C12</f>
        <v/>
      </c>
      <c r="D25" s="28" t="inlineStr">
        <is>
          <t>Suma de GB hot de las familias de este cliente en PRE.</t>
        </is>
      </c>
      <c r="E25" s="28" t="inlineStr">
        <is>
          <t>Suma GB hot de la tabla PRE.</t>
        </is>
      </c>
      <c r="F25" s="28" t="n"/>
      <c r="G25" s="60" t="n"/>
    </row>
    <row r="26">
      <c r="A26" s="60" t="n">
        <v>2</v>
      </c>
      <c r="B26" s="60" t="inlineStr">
        <is>
          <t>GB hot del cluster</t>
        </is>
      </c>
      <c r="C26" s="28">
        <f>Parameters!$B$21</f>
        <v/>
      </c>
      <c r="D26" s="28" t="inlineStr">
        <is>
          <t>Denominador. Todo el hot de PRE, no solo este cliente.</t>
        </is>
      </c>
      <c r="E26" s="28" t="inlineStr">
        <is>
          <t>Parameters, suma de Measurement.</t>
        </is>
      </c>
      <c r="F26" s="28" t="n"/>
      <c r="G26" s="60" t="n"/>
    </row>
    <row r="27">
      <c r="A27" s="60" t="n">
        <v>3</v>
      </c>
      <c r="B27" s="60" t="inlineStr">
        <is>
          <t>Cuota hot</t>
        </is>
      </c>
      <c r="C27" s="33">
        <f>IF(C26=0,0,C25/C26)</f>
        <v/>
      </c>
      <c r="D27" s="28" t="inlineStr">
        <is>
          <t>Parte del hot del cluster que es de este cliente.</t>
        </is>
      </c>
      <c r="E27" s="28" t="inlineStr">
        <is>
          <t>GB hot del cliente / GB hot del cluster.</t>
        </is>
      </c>
      <c r="F27" s="28" t="n"/>
      <c r="G27" s="60" t="n"/>
    </row>
    <row r="28">
      <c r="A28" s="60" t="n">
        <v>4</v>
      </c>
      <c r="B28" s="60" t="inlineStr">
        <is>
          <t>GB frozen del cliente</t>
        </is>
      </c>
      <c r="C28" s="28">
        <f>D12</f>
        <v/>
      </c>
      <c r="D28" s="28" t="inlineStr">
        <is>
          <t>Suma de GB frozen de las familias de este cliente en PRE.</t>
        </is>
      </c>
      <c r="E28" s="28" t="inlineStr">
        <is>
          <t>Suma GB frozen de la tabla PRE.</t>
        </is>
      </c>
      <c r="F28" s="28" t="n"/>
      <c r="G28" s="60" t="n"/>
    </row>
    <row r="29">
      <c r="A29" s="60" t="n">
        <v>5</v>
      </c>
      <c r="B29" s="60" t="inlineStr">
        <is>
          <t>GB frozen del cluster</t>
        </is>
      </c>
      <c r="C29" s="28">
        <f>Parameters!$B$22</f>
        <v/>
      </c>
      <c r="D29" s="28" t="inlineStr">
        <is>
          <t>Denominador frozen de PRE.</t>
        </is>
      </c>
      <c r="E29" s="28" t="inlineStr">
        <is>
          <t>Parameters, suma de Measurement.</t>
        </is>
      </c>
      <c r="F29" s="28" t="n"/>
      <c r="G29" s="60" t="n"/>
    </row>
    <row r="30">
      <c r="A30" s="60" t="n">
        <v>6</v>
      </c>
      <c r="B30" s="60" t="inlineStr">
        <is>
          <t>Cuota frozen</t>
        </is>
      </c>
      <c r="C30" s="33">
        <f>IF(C29=0,0,C28/C29)</f>
        <v/>
      </c>
      <c r="D30" s="28" t="inlineStr">
        <is>
          <t>Parte del frozen del cluster que es de este cliente.</t>
        </is>
      </c>
      <c r="E30" s="28" t="inlineStr">
        <is>
          <t>GB frozen del cliente / GB frozen del cluster.</t>
        </is>
      </c>
      <c r="F30" s="28" t="n"/>
      <c r="G30" s="60" t="n"/>
    </row>
    <row r="31">
      <c r="A31" s="60" t="n">
        <v>7</v>
      </c>
      <c r="B31" s="60" t="inlineStr">
        <is>
          <t>ECU/h hot del cluster</t>
        </is>
      </c>
      <c r="C31" s="34">
        <f>Parameters!$B$11</f>
        <v/>
      </c>
      <c r="D31" s="28" t="inlineStr">
        <is>
          <t>Tarifa por hora de los nodos hot de PRE. El disco va incluido.</t>
        </is>
      </c>
      <c r="E31" s="28" t="inlineStr">
        <is>
          <t>Parameters. Factura Elastic Cloud.</t>
        </is>
      </c>
      <c r="F31" s="28" t="n"/>
      <c r="G31" s="60" t="n"/>
    </row>
    <row r="32">
      <c r="A32" s="60" t="n">
        <v>8</v>
      </c>
      <c r="B32" s="60" t="inlineStr">
        <is>
          <t>ECU/h hot del cliente</t>
        </is>
      </c>
      <c r="C32" s="34">
        <f>C27*C31</f>
        <v/>
      </c>
      <c r="D32" s="28" t="inlineStr">
        <is>
          <t>Coste horario del hot que le toca a este cliente.</t>
        </is>
      </c>
      <c r="E32" s="28" t="inlineStr">
        <is>
          <t>Cuota hot x ECU/h hot del cluster.</t>
        </is>
      </c>
      <c r="F32" s="28" t="n"/>
      <c r="G32" s="60" t="n"/>
    </row>
    <row r="33">
      <c r="A33" s="60" t="n">
        <v>9</v>
      </c>
      <c r="B33" s="60" t="inlineStr">
        <is>
          <t>ECU/h frozen del cluster</t>
        </is>
      </c>
      <c r="C33" s="34">
        <f>Parameters!$B$12</f>
        <v/>
      </c>
      <c r="D33" s="28" t="inlineStr">
        <is>
          <t>Tarifa por hora de los nodos frozen de PRE.</t>
        </is>
      </c>
      <c r="E33" s="28" t="inlineStr">
        <is>
          <t>Parameters. Factura Elastic Cloud.</t>
        </is>
      </c>
      <c r="F33" s="28" t="n"/>
      <c r="G33" s="60" t="n"/>
    </row>
    <row r="34">
      <c r="A34" s="60" t="n">
        <v>10</v>
      </c>
      <c r="B34" s="60" t="inlineStr">
        <is>
          <t>ECU/h frozen del cliente</t>
        </is>
      </c>
      <c r="C34" s="34">
        <f>C30*C33</f>
        <v/>
      </c>
      <c r="D34" s="28" t="inlineStr">
        <is>
          <t>Coste horario del frozen que le toca a este cliente.</t>
        </is>
      </c>
      <c r="E34" s="28" t="inlineStr">
        <is>
          <t>Cuota frozen x ECU/h frozen del cluster.</t>
        </is>
      </c>
      <c r="F34" s="28" t="n"/>
      <c r="G34" s="60" t="n"/>
    </row>
    <row r="35">
      <c r="A35" s="60" t="n">
        <v>11</v>
      </c>
      <c r="B35" s="60" t="inlineStr">
        <is>
          <t>Horas al mes</t>
        </is>
      </c>
      <c r="C35" s="35">
        <f>Parameters!$B$5</f>
        <v/>
      </c>
      <c r="D35" s="28" t="inlineStr">
        <is>
          <t>Horas del mes para pasar de ECU/hora a ECU/mes.</t>
        </is>
      </c>
      <c r="E35" s="28" t="inlineStr">
        <is>
          <t>Parameters, Horas al mes.</t>
        </is>
      </c>
      <c r="F35" s="28" t="n"/>
      <c r="G35" s="60" t="n"/>
    </row>
    <row r="36">
      <c r="A36" s="60" t="n">
        <v>12</v>
      </c>
      <c r="B36" s="60" t="inlineStr">
        <is>
          <t>ECU/mes capacidad</t>
        </is>
      </c>
      <c r="C36" s="36">
        <f>(C32+C34)*C35</f>
        <v/>
      </c>
      <c r="D36" s="28" t="inlineStr">
        <is>
          <t>Coste mensual de hot y frozen, sin snapshots ni recargo.</t>
        </is>
      </c>
      <c r="E36" s="28" t="inlineStr">
        <is>
          <t>(ECU/h hot del cliente + ECU/h frozen del cliente) x horas.</t>
        </is>
      </c>
      <c r="F36" s="28" t="n"/>
      <c r="G36" s="60" t="n"/>
    </row>
    <row r="37">
      <c r="A37" s="60" t="n">
        <v>13</v>
      </c>
      <c r="B37" s="60" t="inlineStr">
        <is>
          <t>Snapshots ECU/mes del cluster</t>
        </is>
      </c>
      <c r="C37" s="36">
        <f>Parameters!$B$23</f>
        <v/>
      </c>
      <c r="D37" s="28" t="inlineStr">
        <is>
          <t>Factura mensual de snapshots de todo PRE. Sample closed month.</t>
        </is>
      </c>
      <c r="E37" s="28" t="inlineStr">
        <is>
          <t>Parameters, snapshots ECU/mes.</t>
        </is>
      </c>
      <c r="F37" s="28" t="n"/>
      <c r="G37" s="60" t="n"/>
    </row>
    <row r="38">
      <c r="A38" s="60" t="n">
        <v>14</v>
      </c>
      <c r="B38" s="60" t="inlineStr">
        <is>
          <t>ECU/mes snapshots del cliente</t>
        </is>
      </c>
      <c r="C38" s="36">
        <f>IF(C29=0,C27*C37,C30*C37)</f>
        <v/>
      </c>
      <c r="D38" s="28" t="inlineStr">
        <is>
          <t>Parte de los snapshots que le toca. Si no hay frozen en el cluster, usa la cuota hot.</t>
        </is>
      </c>
      <c r="E38" s="28" t="inlineStr">
        <is>
          <t>Cuota frozen x snapshots. Si el frozen del cluster es 0, cuota hot x snapshots.</t>
        </is>
      </c>
      <c r="F38" s="28" t="n"/>
      <c r="G38" s="60" t="n"/>
    </row>
    <row r="39">
      <c r="A39" s="60" t="n">
        <v>15</v>
      </c>
      <c r="B39" s="60" t="inlineStr">
        <is>
          <t>ECU/mes Elastic</t>
        </is>
      </c>
      <c r="C39" s="36">
        <f>C36+C38</f>
        <v/>
      </c>
      <c r="D39" s="28" t="inlineStr">
        <is>
          <t>Coste Elastic del mes, sin recargo.</t>
        </is>
      </c>
      <c r="E39" s="28" t="inlineStr">
        <is>
          <t>ECU/mes capacidad + ECU/mes snapshots.</t>
        </is>
      </c>
      <c r="F39" s="28" t="n"/>
      <c r="G39" s="60" t="n"/>
    </row>
    <row r="40">
      <c r="A40" s="60" t="n">
        <v>16</v>
      </c>
      <c r="B40" s="60" t="inlineStr">
        <is>
          <t>Recargo</t>
        </is>
      </c>
      <c r="C40" s="33">
        <f>Parameters!$B$6</f>
        <v/>
      </c>
      <c r="D40" s="28" t="inlineStr">
        <is>
          <t>Recargo de plataforma, picos y administracion. Solo PRE y PRO.</t>
        </is>
      </c>
      <c r="E40" s="28" t="inlineStr">
        <is>
          <t>Parameters, recargo sobre PRE y PRO.</t>
        </is>
      </c>
      <c r="F40" s="28" t="n"/>
      <c r="G40" s="60" t="n"/>
    </row>
    <row r="41">
      <c r="A41" s="60" t="n">
        <v>17</v>
      </c>
      <c r="B41" s="60" t="inlineStr">
        <is>
          <t>ECU/mes recargo</t>
        </is>
      </c>
      <c r="C41" s="33">
        <f>IF(OR("PRE"="PRE","PRE"="PRO"),C39*C40,0)</f>
        <v/>
      </c>
      <c r="D41" s="28" t="inlineStr">
        <is>
          <t>ECU del recargo este mes.</t>
        </is>
      </c>
      <c r="E41" s="28" t="inlineStr">
        <is>
          <t>ECU/mes Elastic x recargo.</t>
        </is>
      </c>
      <c r="F41" s="28" t="n"/>
      <c r="G41" s="60" t="n"/>
    </row>
    <row r="42">
      <c r="A42" s="6" t="n">
        <v>18</v>
      </c>
      <c r="B42" s="6" t="inlineStr">
        <is>
          <t>ECU/mes a repercutir</t>
        </is>
      </c>
      <c r="C42" s="37">
        <f>C39+C41</f>
        <v/>
      </c>
      <c r="D42" s="31" t="inlineStr">
        <is>
          <t>Total a cobrar este mes.</t>
        </is>
      </c>
      <c r="E42" s="31" t="inlineStr">
        <is>
          <t>ECU/mes Elastic + ECU/mes recargo.</t>
        </is>
      </c>
      <c r="F42" s="28" t="n"/>
      <c r="G42" s="60" t="n"/>
    </row>
    <row r="43">
      <c r="A43" s="6" t="n">
        <v>19</v>
      </c>
      <c r="B43" s="6" t="inlineStr">
        <is>
          <t>ECU/ano</t>
        </is>
      </c>
      <c r="C43" s="37">
        <f>C42*12</f>
        <v/>
      </c>
      <c r="D43" s="31" t="inlineStr">
        <is>
          <t>Total a cobrar en 12 meses con los GB y la tarifa de hoy.</t>
        </is>
      </c>
      <c r="E43" s="31" t="inlineStr">
        <is>
          <t>ECU/mes a repercutir x 12.</t>
        </is>
      </c>
      <c r="F43" s="28" t="n"/>
      <c r="G43" s="60" t="n"/>
    </row>
    <row r="44">
      <c r="A44" s="60" t="n"/>
      <c r="B44" s="60" t="n"/>
      <c r="C44" s="28" t="n"/>
      <c r="D44" s="28" t="n"/>
      <c r="E44" s="28" t="n"/>
      <c r="F44" s="28" t="n"/>
      <c r="G44" s="60" t="n"/>
    </row>
    <row r="45">
      <c r="A45" s="59" t="inlineStr">
        <is>
          <t>Calculo PRO</t>
        </is>
      </c>
      <c r="F45" s="28" t="n"/>
      <c r="G45" s="60" t="n"/>
    </row>
    <row r="46">
      <c r="A46" s="5" t="inlineStr">
        <is>
          <t>Paso</t>
        </is>
      </c>
      <c r="B46" s="5" t="inlineStr">
        <is>
          <t>Casilla</t>
        </is>
      </c>
      <c r="C46" s="29" t="inlineStr">
        <is>
          <t>Valor</t>
        </is>
      </c>
      <c r="D46" s="29" t="inlineStr">
        <is>
          <t>Que es</t>
        </is>
      </c>
      <c r="E46" s="29" t="inlineStr">
        <is>
          <t>Como se calcula</t>
        </is>
      </c>
      <c r="F46" s="28" t="n"/>
      <c r="G46" s="60" t="n"/>
    </row>
    <row r="47">
      <c r="A47" s="60" t="n">
        <v>1</v>
      </c>
      <c r="B47" s="60" t="inlineStr">
        <is>
          <t>GB hot del cliente</t>
        </is>
      </c>
      <c r="C47" s="28">
        <f>C21</f>
        <v/>
      </c>
      <c r="D47" s="28" t="inlineStr">
        <is>
          <t>Suma de GB hot de las familias de este cliente en PRO.</t>
        </is>
      </c>
      <c r="E47" s="28" t="inlineStr">
        <is>
          <t>Suma GB hot de la tabla PRO.</t>
        </is>
      </c>
      <c r="F47" s="28" t="n"/>
      <c r="G47" s="60" t="n"/>
    </row>
    <row r="48">
      <c r="A48" s="60" t="n">
        <v>2</v>
      </c>
      <c r="B48" s="60" t="inlineStr">
        <is>
          <t>GB hot del cluster</t>
        </is>
      </c>
      <c r="C48" s="28">
        <f>Parameters!$C$21</f>
        <v/>
      </c>
      <c r="D48" s="28" t="inlineStr">
        <is>
          <t>Denominador. Todo el hot de PRO, no solo este cliente.</t>
        </is>
      </c>
      <c r="E48" s="28" t="inlineStr">
        <is>
          <t>Parameters, suma de Measurement.</t>
        </is>
      </c>
      <c r="F48" s="28" t="n"/>
      <c r="G48" s="60" t="n"/>
    </row>
    <row r="49">
      <c r="A49" s="60" t="n">
        <v>3</v>
      </c>
      <c r="B49" s="60" t="inlineStr">
        <is>
          <t>Cuota hot</t>
        </is>
      </c>
      <c r="C49" s="33">
        <f>IF(C48=0,0,C47/C48)</f>
        <v/>
      </c>
      <c r="D49" s="28" t="inlineStr">
        <is>
          <t>Parte del hot del cluster que es de este cliente.</t>
        </is>
      </c>
      <c r="E49" s="28" t="inlineStr">
        <is>
          <t>GB hot del cliente / GB hot del cluster.</t>
        </is>
      </c>
      <c r="F49" s="28" t="n"/>
      <c r="G49" s="60" t="n"/>
    </row>
    <row r="50">
      <c r="A50" s="60" t="n">
        <v>4</v>
      </c>
      <c r="B50" s="60" t="inlineStr">
        <is>
          <t>GB frozen del cliente</t>
        </is>
      </c>
      <c r="C50" s="28">
        <f>D21</f>
        <v/>
      </c>
      <c r="D50" s="28" t="inlineStr">
        <is>
          <t>Suma de GB frozen de las familias de este cliente en PRO.</t>
        </is>
      </c>
      <c r="E50" s="28" t="inlineStr">
        <is>
          <t>Suma GB frozen de la tabla PRO.</t>
        </is>
      </c>
      <c r="F50" s="28" t="n"/>
      <c r="G50" s="60" t="n"/>
    </row>
    <row r="51">
      <c r="A51" s="60" t="n">
        <v>5</v>
      </c>
      <c r="B51" s="60" t="inlineStr">
        <is>
          <t>GB frozen del cluster</t>
        </is>
      </c>
      <c r="C51" s="28">
        <f>Parameters!$C$22</f>
        <v/>
      </c>
      <c r="D51" s="28" t="inlineStr">
        <is>
          <t>Denominador frozen de PRO.</t>
        </is>
      </c>
      <c r="E51" s="28" t="inlineStr">
        <is>
          <t>Parameters, suma de Measurement.</t>
        </is>
      </c>
      <c r="F51" s="28" t="n"/>
      <c r="G51" s="60" t="n"/>
    </row>
    <row r="52">
      <c r="A52" s="60" t="n">
        <v>6</v>
      </c>
      <c r="B52" s="60" t="inlineStr">
        <is>
          <t>Cuota frozen</t>
        </is>
      </c>
      <c r="C52" s="33">
        <f>IF(C51=0,0,C50/C51)</f>
        <v/>
      </c>
      <c r="D52" s="28" t="inlineStr">
        <is>
          <t>Parte del frozen del cluster que es de este cliente.</t>
        </is>
      </c>
      <c r="E52" s="28" t="inlineStr">
        <is>
          <t>GB frozen del cliente / GB frozen del cluster.</t>
        </is>
      </c>
      <c r="F52" s="28" t="n"/>
      <c r="G52" s="60" t="n"/>
    </row>
    <row r="53">
      <c r="A53" s="60" t="n">
        <v>7</v>
      </c>
      <c r="B53" s="60" t="inlineStr">
        <is>
          <t>ECU/h hot del cluster</t>
        </is>
      </c>
      <c r="C53" s="34">
        <f>Parameters!$C$11</f>
        <v/>
      </c>
      <c r="D53" s="28" t="inlineStr">
        <is>
          <t>Tarifa por hora de los nodos hot de PRO. El disco va incluido.</t>
        </is>
      </c>
      <c r="E53" s="28" t="inlineStr">
        <is>
          <t>Parameters. Factura Elastic Cloud.</t>
        </is>
      </c>
      <c r="F53" s="28" t="n"/>
      <c r="G53" s="60" t="n"/>
    </row>
    <row r="54">
      <c r="A54" s="60" t="n">
        <v>8</v>
      </c>
      <c r="B54" s="60" t="inlineStr">
        <is>
          <t>ECU/h hot del cliente</t>
        </is>
      </c>
      <c r="C54" s="34">
        <f>C49*C53</f>
        <v/>
      </c>
      <c r="D54" s="28" t="inlineStr">
        <is>
          <t>Coste horario del hot que le toca a este cliente.</t>
        </is>
      </c>
      <c r="E54" s="28" t="inlineStr">
        <is>
          <t>Cuota hot x ECU/h hot del cluster.</t>
        </is>
      </c>
      <c r="F54" s="28" t="n"/>
      <c r="G54" s="60" t="n"/>
    </row>
    <row r="55">
      <c r="A55" s="60" t="n">
        <v>9</v>
      </c>
      <c r="B55" s="60" t="inlineStr">
        <is>
          <t>ECU/h frozen del cluster</t>
        </is>
      </c>
      <c r="C55" s="34">
        <f>Parameters!$C$12</f>
        <v/>
      </c>
      <c r="D55" s="28" t="inlineStr">
        <is>
          <t>Tarifa por hora de los nodos frozen de PRO.</t>
        </is>
      </c>
      <c r="E55" s="28" t="inlineStr">
        <is>
          <t>Parameters. Factura Elastic Cloud.</t>
        </is>
      </c>
      <c r="F55" s="28" t="n"/>
      <c r="G55" s="60" t="n"/>
    </row>
    <row r="56">
      <c r="A56" s="60" t="n">
        <v>10</v>
      </c>
      <c r="B56" s="60" t="inlineStr">
        <is>
          <t>ECU/h frozen del cliente</t>
        </is>
      </c>
      <c r="C56" s="34">
        <f>C52*C55</f>
        <v/>
      </c>
      <c r="D56" s="28" t="inlineStr">
        <is>
          <t>Coste horario del frozen que le toca a este cliente.</t>
        </is>
      </c>
      <c r="E56" s="28" t="inlineStr">
        <is>
          <t>Cuota frozen x ECU/h frozen del cluster.</t>
        </is>
      </c>
      <c r="F56" s="28" t="n"/>
      <c r="G56" s="60" t="n"/>
    </row>
    <row r="57">
      <c r="A57" s="60" t="n">
        <v>11</v>
      </c>
      <c r="B57" s="60" t="inlineStr">
        <is>
          <t>Horas al mes</t>
        </is>
      </c>
      <c r="C57" s="35">
        <f>Parameters!$B$5</f>
        <v/>
      </c>
      <c r="D57" s="28" t="inlineStr">
        <is>
          <t>Horas del mes para pasar de ECU/hora a ECU/mes.</t>
        </is>
      </c>
      <c r="E57" s="28" t="inlineStr">
        <is>
          <t>Parameters, Horas al mes.</t>
        </is>
      </c>
      <c r="F57" s="28" t="n"/>
      <c r="G57" s="60" t="n"/>
    </row>
    <row r="58">
      <c r="A58" s="60" t="n">
        <v>12</v>
      </c>
      <c r="B58" s="60" t="inlineStr">
        <is>
          <t>ECU/mes capacidad</t>
        </is>
      </c>
      <c r="C58" s="36">
        <f>(C54+C56)*C57</f>
        <v/>
      </c>
      <c r="D58" s="28" t="inlineStr">
        <is>
          <t>Coste mensual de hot y frozen, sin snapshots ni recargo.</t>
        </is>
      </c>
      <c r="E58" s="28" t="inlineStr">
        <is>
          <t>(ECU/h hot del cliente + ECU/h frozen del cliente) x horas.</t>
        </is>
      </c>
      <c r="F58" s="28" t="n"/>
      <c r="G58" s="60" t="n"/>
    </row>
    <row r="59">
      <c r="A59" s="60" t="n">
        <v>13</v>
      </c>
      <c r="B59" s="60" t="inlineStr">
        <is>
          <t>Snapshots ECU/mes del cluster</t>
        </is>
      </c>
      <c r="C59" s="36">
        <f>Parameters!$C$23</f>
        <v/>
      </c>
      <c r="D59" s="28" t="inlineStr">
        <is>
          <t>Factura mensual de snapshots de todo PRO. Sample closed month.</t>
        </is>
      </c>
      <c r="E59" s="28" t="inlineStr">
        <is>
          <t>Parameters, snapshots ECU/mes.</t>
        </is>
      </c>
      <c r="F59" s="28" t="n"/>
      <c r="G59" s="60" t="n"/>
    </row>
    <row r="60">
      <c r="A60" s="60" t="n">
        <v>14</v>
      </c>
      <c r="B60" s="60" t="inlineStr">
        <is>
          <t>ECU/mes snapshots del cliente</t>
        </is>
      </c>
      <c r="C60" s="36">
        <f>IF(C51=0,C49*C59,C52*C59)</f>
        <v/>
      </c>
      <c r="D60" s="28" t="inlineStr">
        <is>
          <t>Parte de los snapshots que le toca. Si no hay frozen en el cluster, usa la cuota hot.</t>
        </is>
      </c>
      <c r="E60" s="28" t="inlineStr">
        <is>
          <t>Cuota frozen x snapshots. Si el frozen del cluster es 0, cuota hot x snapshots.</t>
        </is>
      </c>
      <c r="F60" s="28" t="n"/>
      <c r="G60" s="60" t="n"/>
    </row>
    <row r="61">
      <c r="A61" s="60" t="n">
        <v>15</v>
      </c>
      <c r="B61" s="60" t="inlineStr">
        <is>
          <t>ECU/mes Elastic</t>
        </is>
      </c>
      <c r="C61" s="36">
        <f>C58+C60</f>
        <v/>
      </c>
      <c r="D61" s="28" t="inlineStr">
        <is>
          <t>Coste Elastic del mes, sin recargo.</t>
        </is>
      </c>
      <c r="E61" s="28" t="inlineStr">
        <is>
          <t>ECU/mes capacidad + ECU/mes snapshots.</t>
        </is>
      </c>
      <c r="F61" s="28" t="n"/>
      <c r="G61" s="60" t="n"/>
    </row>
    <row r="62">
      <c r="A62" s="60" t="n">
        <v>16</v>
      </c>
      <c r="B62" s="60" t="inlineStr">
        <is>
          <t>Recargo</t>
        </is>
      </c>
      <c r="C62" s="33">
        <f>Parameters!$B$6</f>
        <v/>
      </c>
      <c r="D62" s="28" t="inlineStr">
        <is>
          <t>Recargo de plataforma, picos y administracion. Solo PRE y PRO.</t>
        </is>
      </c>
      <c r="E62" s="28" t="inlineStr">
        <is>
          <t>Parameters, recargo sobre PRE y PRO.</t>
        </is>
      </c>
      <c r="F62" s="28" t="n"/>
      <c r="G62" s="60" t="n"/>
    </row>
    <row r="63">
      <c r="A63" s="60" t="n">
        <v>17</v>
      </c>
      <c r="B63" s="60" t="inlineStr">
        <is>
          <t>ECU/mes recargo</t>
        </is>
      </c>
      <c r="C63" s="33">
        <f>IF(OR("PRO"="PRE","PRO"="PRO"),C61*C62,0)</f>
        <v/>
      </c>
      <c r="D63" s="28" t="inlineStr">
        <is>
          <t>ECU del recargo este mes.</t>
        </is>
      </c>
      <c r="E63" s="28" t="inlineStr">
        <is>
          <t>ECU/mes Elastic x recargo.</t>
        </is>
      </c>
      <c r="F63" s="28" t="n"/>
      <c r="G63" s="60" t="n"/>
    </row>
    <row r="64">
      <c r="A64" s="6" t="n">
        <v>18</v>
      </c>
      <c r="B64" s="6" t="inlineStr">
        <is>
          <t>ECU/mes a repercutir</t>
        </is>
      </c>
      <c r="C64" s="37">
        <f>C61+C63</f>
        <v/>
      </c>
      <c r="D64" s="31" t="inlineStr">
        <is>
          <t>Total a cobrar este mes.</t>
        </is>
      </c>
      <c r="E64" s="31" t="inlineStr">
        <is>
          <t>ECU/mes Elastic + ECU/mes recargo.</t>
        </is>
      </c>
      <c r="F64" s="28" t="n"/>
      <c r="G64" s="60" t="n"/>
    </row>
    <row r="65">
      <c r="A65" s="6" t="n">
        <v>19</v>
      </c>
      <c r="B65" s="6" t="inlineStr">
        <is>
          <t>ECU/ano</t>
        </is>
      </c>
      <c r="C65" s="37">
        <f>C64*12</f>
        <v/>
      </c>
      <c r="D65" s="31" t="inlineStr">
        <is>
          <t>Total a cobrar en 12 meses con los GB y la tarifa de hoy.</t>
        </is>
      </c>
      <c r="E65" s="31" t="inlineStr">
        <is>
          <t>ECU/mes a repercutir x 12.</t>
        </is>
      </c>
      <c r="F65" s="28" t="n"/>
      <c r="G65" s="60" t="n"/>
    </row>
    <row r="66">
      <c r="A66" s="60" t="n"/>
      <c r="B66" s="60" t="n"/>
      <c r="C66" s="28" t="n"/>
      <c r="D66" s="28" t="n"/>
      <c r="E66" s="28" t="n"/>
      <c r="F66" s="28" t="n"/>
      <c r="G66" s="60" t="n"/>
    </row>
    <row r="67">
      <c r="A67" s="59" t="inlineStr">
        <is>
          <t>Total del cliente, PRE + PRO</t>
        </is>
      </c>
      <c r="F67" s="28" t="n"/>
      <c r="G67" s="60" t="n"/>
    </row>
    <row r="68">
      <c r="A68" s="6" t="n"/>
      <c r="B68" s="6" t="inlineStr">
        <is>
          <t>ECU/mes a repercutir</t>
        </is>
      </c>
      <c r="C68" s="37">
        <f>C42+C64</f>
        <v/>
      </c>
      <c r="D68" s="31" t="inlineStr">
        <is>
          <t>Suma de lo que se cobra en PRE y en PRO este mes, recargo incluido.</t>
        </is>
      </c>
      <c r="E68" s="31" t="inlineStr">
        <is>
          <t>ECU/mes PRE + ECU/mes PRO.</t>
        </is>
      </c>
      <c r="F68" s="28" t="n"/>
      <c r="G68" s="60" t="n"/>
    </row>
    <row r="69">
      <c r="A69" s="6" t="n"/>
      <c r="B69" s="6" t="inlineStr">
        <is>
          <t>ECU/ano</t>
        </is>
      </c>
      <c r="C69" s="37">
        <f>C43+C65</f>
        <v/>
      </c>
      <c r="D69" s="31" t="inlineStr">
        <is>
          <t>Suma anual de PRE y PRO con los GB y la tarifa de hoy.</t>
        </is>
      </c>
      <c r="E69" s="31" t="inlineStr">
        <is>
          <t>ECU/ano PRE + ECU/ano PRO.</t>
        </is>
      </c>
      <c r="F69" s="28" t="n"/>
      <c r="G69" s="60" t="n"/>
    </row>
    <row r="70">
      <c r="A70" s="60" t="n"/>
      <c r="B70" s="60" t="n"/>
      <c r="C70" s="28" t="n"/>
      <c r="D70" s="28" t="n"/>
      <c r="E70" s="28" t="n"/>
      <c r="F70" s="28" t="n"/>
      <c r="G70" s="60" t="n"/>
    </row>
    <row r="71">
      <c r="A71" s="60" t="n"/>
      <c r="B71" s="60" t="n"/>
      <c r="C71" s="28" t="n"/>
      <c r="D71" s="28" t="n"/>
      <c r="E71" s="28" t="n"/>
      <c r="F71" s="28" t="n"/>
      <c r="G71" s="60" t="n"/>
    </row>
    <row r="72">
      <c r="A72" s="60" t="n"/>
      <c r="B72" s="60" t="n"/>
      <c r="C72" s="28" t="n"/>
      <c r="D72" s="28" t="n"/>
      <c r="E72" s="28" t="n"/>
      <c r="F72" s="28" t="n"/>
      <c r="G72" s="60" t="n"/>
    </row>
    <row r="73">
      <c r="A73" s="60" t="n"/>
      <c r="B73" s="60" t="n"/>
      <c r="C73" s="28" t="n"/>
      <c r="D73" s="28" t="n"/>
      <c r="E73" s="28" t="n"/>
      <c r="F73" s="28" t="n"/>
      <c r="G73" s="60" t="n"/>
    </row>
    <row r="74">
      <c r="A74" s="60" t="n"/>
      <c r="B74" s="60" t="n"/>
      <c r="C74" s="28" t="n"/>
      <c r="D74" s="28" t="n"/>
      <c r="E74" s="28" t="n"/>
      <c r="F74" s="28" t="n"/>
      <c r="G74" s="60" t="n"/>
    </row>
    <row r="75">
      <c r="A75" s="60" t="n"/>
      <c r="B75" s="60" t="n"/>
      <c r="C75" s="28" t="n"/>
      <c r="D75" s="28" t="n"/>
      <c r="E75" s="28" t="n"/>
      <c r="F75" s="28" t="n"/>
      <c r="G75" s="60" t="n"/>
    </row>
    <row r="76">
      <c r="A76" s="60" t="n"/>
      <c r="B76" s="60" t="n"/>
      <c r="C76" s="28" t="n"/>
      <c r="D76" s="28" t="n"/>
      <c r="E76" s="28" t="n"/>
      <c r="F76" s="28" t="n"/>
      <c r="G76" s="60" t="n"/>
    </row>
    <row r="77">
      <c r="A77" s="60" t="n"/>
      <c r="B77" s="60" t="n"/>
      <c r="C77" s="28" t="n"/>
      <c r="D77" s="28" t="n"/>
      <c r="E77" s="28" t="n"/>
      <c r="F77" s="28" t="n"/>
      <c r="G77" s="60" t="n"/>
    </row>
    <row r="78">
      <c r="A78" s="60" t="n"/>
      <c r="B78" s="60" t="n"/>
      <c r="C78" s="28" t="n"/>
      <c r="D78" s="28" t="n"/>
      <c r="E78" s="28" t="n"/>
      <c r="F78" s="28" t="n"/>
      <c r="G78" s="60" t="n"/>
    </row>
    <row r="79">
      <c r="A79" s="60" t="n"/>
      <c r="B79" s="60" t="n"/>
      <c r="C79" s="28" t="n"/>
      <c r="D79" s="28" t="n"/>
      <c r="E79" s="28" t="n"/>
      <c r="F79" s="28" t="n"/>
      <c r="G79" s="60" t="n"/>
    </row>
    <row r="80">
      <c r="A80" s="60" t="n"/>
      <c r="B80" s="60" t="n"/>
      <c r="C80" s="28" t="n"/>
      <c r="D80" s="28" t="n"/>
      <c r="E80" s="28" t="n"/>
      <c r="F80" s="28" t="n"/>
      <c r="G80" s="60" t="n"/>
    </row>
    <row r="81">
      <c r="A81" s="60" t="n"/>
      <c r="B81" s="60" t="n"/>
      <c r="C81" s="28" t="n"/>
      <c r="D81" s="28" t="n"/>
      <c r="E81" s="28" t="n"/>
      <c r="F81" s="28" t="n"/>
      <c r="G81" s="60" t="n"/>
    </row>
    <row r="82">
      <c r="A82" s="60" t="n"/>
      <c r="B82" s="60" t="n"/>
      <c r="C82" s="28" t="n"/>
      <c r="D82" s="28" t="n"/>
      <c r="E82" s="28" t="n"/>
      <c r="F82" s="28" t="n"/>
      <c r="G82" s="60" t="n"/>
    </row>
    <row r="83">
      <c r="A83" s="60" t="n"/>
      <c r="B83" s="60" t="n"/>
      <c r="C83" s="28" t="n"/>
      <c r="D83" s="28" t="n"/>
      <c r="E83" s="28" t="n"/>
      <c r="F83" s="28" t="n"/>
      <c r="G83" s="60" t="n"/>
    </row>
    <row r="84">
      <c r="A84" s="60" t="n"/>
      <c r="B84" s="60" t="n"/>
      <c r="C84" s="28" t="n"/>
      <c r="D84" s="28" t="n"/>
      <c r="E84" s="28" t="n"/>
      <c r="F84" s="28" t="n"/>
      <c r="G84" s="60" t="n"/>
    </row>
    <row r="85">
      <c r="A85" s="60" t="n"/>
      <c r="B85" s="60" t="n"/>
      <c r="C85" s="28" t="n"/>
      <c r="D85" s="28" t="n"/>
      <c r="E85" s="28" t="n"/>
      <c r="F85" s="28" t="n"/>
      <c r="G85" s="60" t="n"/>
    </row>
    <row r="86">
      <c r="A86" s="60" t="n"/>
      <c r="B86" s="60" t="n"/>
      <c r="C86" s="28" t="n"/>
      <c r="D86" s="28" t="n"/>
      <c r="E86" s="28" t="n"/>
      <c r="F86" s="28" t="n"/>
      <c r="G86" s="60" t="n"/>
    </row>
    <row r="87">
      <c r="A87" s="60" t="n"/>
      <c r="B87" s="60" t="n"/>
      <c r="C87" s="28" t="n"/>
      <c r="D87" s="28" t="n"/>
      <c r="E87" s="28" t="n"/>
      <c r="F87" s="28" t="n"/>
      <c r="G87" s="60" t="n"/>
    </row>
    <row r="88">
      <c r="A88" s="60" t="n"/>
      <c r="B88" s="60" t="n"/>
      <c r="C88" s="28" t="n"/>
      <c r="D88" s="28" t="n"/>
      <c r="E88" s="28" t="n"/>
      <c r="F88" s="28" t="n"/>
      <c r="G88" s="60" t="n"/>
    </row>
    <row r="89">
      <c r="A89" s="60" t="n"/>
      <c r="B89" s="60" t="n"/>
      <c r="C89" s="28" t="n"/>
      <c r="D89" s="28" t="n"/>
      <c r="E89" s="28" t="n"/>
      <c r="F89" s="28" t="n"/>
      <c r="G89" s="60" t="n"/>
    </row>
    <row r="90">
      <c r="A90" s="60" t="n"/>
      <c r="B90" s="60" t="n"/>
      <c r="C90" s="28" t="n"/>
      <c r="D90" s="28" t="n"/>
      <c r="E90" s="28" t="n"/>
      <c r="F90" s="28" t="n"/>
      <c r="G90" s="60" t="n"/>
    </row>
    <row r="91">
      <c r="A91" s="60" t="n"/>
      <c r="B91" s="60" t="n"/>
      <c r="C91" s="28" t="n"/>
      <c r="D91" s="28" t="n"/>
      <c r="E91" s="28" t="n"/>
      <c r="F91" s="28" t="n"/>
      <c r="G91" s="60" t="n"/>
    </row>
    <row r="92">
      <c r="A92" s="60" t="n"/>
      <c r="B92" s="60" t="n"/>
      <c r="C92" s="28" t="n"/>
      <c r="D92" s="28" t="n"/>
      <c r="E92" s="28" t="n"/>
      <c r="F92" s="28" t="n"/>
      <c r="G92" s="60" t="n"/>
    </row>
    <row r="93">
      <c r="A93" s="60" t="n"/>
      <c r="B93" s="60" t="n"/>
      <c r="C93" s="28" t="n"/>
      <c r="D93" s="28" t="n"/>
      <c r="E93" s="28" t="n"/>
      <c r="F93" s="28" t="n"/>
      <c r="G93" s="60" t="n"/>
    </row>
    <row r="94">
      <c r="A94" s="60" t="n"/>
      <c r="B94" s="60" t="n"/>
      <c r="C94" s="28" t="n"/>
      <c r="D94" s="28" t="n"/>
      <c r="E94" s="28" t="n"/>
      <c r="F94" s="28" t="n"/>
      <c r="G94" s="60" t="n"/>
    </row>
    <row r="95">
      <c r="A95" s="60" t="n"/>
      <c r="B95" s="60" t="n"/>
      <c r="C95" s="28" t="n"/>
      <c r="D95" s="28" t="n"/>
      <c r="E95" s="28" t="n"/>
      <c r="F95" s="28" t="n"/>
      <c r="G95" s="60" t="n"/>
    </row>
    <row r="96">
      <c r="A96" s="60" t="n"/>
      <c r="B96" s="60" t="n"/>
      <c r="C96" s="28" t="n"/>
      <c r="D96" s="28" t="n"/>
      <c r="E96" s="28" t="n"/>
      <c r="F96" s="28" t="n"/>
      <c r="G96" s="60" t="n"/>
    </row>
    <row r="97">
      <c r="A97" s="60" t="n"/>
      <c r="B97" s="60" t="n"/>
      <c r="C97" s="28" t="n"/>
      <c r="D97" s="28" t="n"/>
      <c r="E97" s="28" t="n"/>
      <c r="F97" s="28" t="n"/>
      <c r="G97" s="60" t="n"/>
    </row>
    <row r="98">
      <c r="A98" s="60" t="n"/>
      <c r="B98" s="60" t="n"/>
      <c r="C98" s="28" t="n"/>
      <c r="D98" s="28" t="n"/>
      <c r="E98" s="28" t="n"/>
      <c r="F98" s="28" t="n"/>
      <c r="G98" s="60" t="n"/>
    </row>
    <row r="99">
      <c r="A99" s="60" t="n"/>
      <c r="B99" s="60" t="n"/>
      <c r="C99" s="28" t="n"/>
      <c r="D99" s="28" t="n"/>
      <c r="E99" s="28" t="n"/>
      <c r="F99" s="28" t="n"/>
      <c r="G99" s="60" t="n"/>
    </row>
    <row r="100">
      <c r="A100" s="60" t="n"/>
      <c r="B100" s="60" t="n"/>
      <c r="C100" s="28" t="n"/>
      <c r="D100" s="28" t="n"/>
      <c r="E100" s="28" t="n"/>
      <c r="F100" s="28" t="n"/>
      <c r="G100" s="60" t="n"/>
    </row>
    <row r="101">
      <c r="A101" s="60" t="n"/>
      <c r="B101" s="60" t="n"/>
      <c r="C101" s="28" t="n"/>
      <c r="D101" s="28" t="n"/>
      <c r="E101" s="28" t="n"/>
      <c r="F101" s="28" t="n"/>
      <c r="G101" s="60" t="n"/>
    </row>
    <row r="102">
      <c r="A102" s="60" t="n"/>
      <c r="B102" s="60" t="n"/>
      <c r="C102" s="28" t="n"/>
      <c r="D102" s="28" t="n"/>
      <c r="E102" s="28" t="n"/>
      <c r="F102" s="28" t="n"/>
      <c r="G102" s="60" t="n"/>
    </row>
    <row r="103">
      <c r="A103" s="60" t="n"/>
      <c r="B103" s="60" t="n"/>
      <c r="C103" s="28" t="n"/>
      <c r="D103" s="28" t="n"/>
      <c r="E103" s="28" t="n"/>
      <c r="F103" s="28" t="n"/>
      <c r="G103" s="60" t="n"/>
    </row>
    <row r="104">
      <c r="A104" s="60" t="n"/>
      <c r="B104" s="60" t="n"/>
      <c r="C104" s="28" t="n"/>
      <c r="D104" s="28" t="n"/>
      <c r="E104" s="28" t="n"/>
      <c r="F104" s="28" t="n"/>
      <c r="G104" s="60" t="n"/>
    </row>
    <row r="105">
      <c r="A105" s="60" t="n"/>
      <c r="B105" s="60" t="n"/>
      <c r="C105" s="28" t="n"/>
      <c r="D105" s="28" t="n"/>
      <c r="E105" s="28" t="n"/>
      <c r="F105" s="28" t="n"/>
      <c r="G105" s="60" t="n"/>
    </row>
    <row r="106">
      <c r="A106" s="60" t="n"/>
      <c r="B106" s="60" t="n"/>
      <c r="C106" s="28" t="n"/>
      <c r="D106" s="28" t="n"/>
      <c r="E106" s="28" t="n"/>
      <c r="F106" s="28" t="n"/>
      <c r="G106" s="60" t="n"/>
    </row>
    <row r="107">
      <c r="A107" s="60" t="n"/>
      <c r="B107" s="60" t="n"/>
      <c r="C107" s="28" t="n"/>
      <c r="D107" s="28" t="n"/>
      <c r="E107" s="28" t="n"/>
      <c r="F107" s="28" t="n"/>
      <c r="G107" s="60" t="n"/>
    </row>
    <row r="108">
      <c r="A108" s="60" t="n"/>
      <c r="B108" s="60" t="n"/>
      <c r="C108" s="28" t="n"/>
      <c r="D108" s="28" t="n"/>
      <c r="E108" s="28" t="n"/>
      <c r="F108" s="28" t="n"/>
      <c r="G108" s="60" t="n"/>
    </row>
    <row r="109">
      <c r="A109" s="60" t="n"/>
      <c r="B109" s="60" t="n"/>
      <c r="C109" s="28" t="n"/>
      <c r="D109" s="28" t="n"/>
      <c r="E109" s="28" t="n"/>
      <c r="F109" s="28" t="n"/>
      <c r="G109" s="60" t="n"/>
    </row>
    <row r="110">
      <c r="A110" s="60" t="n"/>
      <c r="B110" s="60" t="n"/>
      <c r="C110" s="28" t="n"/>
      <c r="D110" s="28" t="n"/>
      <c r="E110" s="28" t="n"/>
      <c r="F110" s="28" t="n"/>
      <c r="G110" s="60" t="n"/>
    </row>
    <row r="111">
      <c r="A111" s="60" t="n"/>
      <c r="B111" s="60" t="n"/>
      <c r="C111" s="28" t="n"/>
      <c r="D111" s="28" t="n"/>
      <c r="E111" s="28" t="n"/>
      <c r="F111" s="28" t="n"/>
      <c r="G111" s="60" t="n"/>
    </row>
    <row r="112">
      <c r="A112" s="60" t="n"/>
      <c r="B112" s="60" t="n"/>
      <c r="C112" s="28" t="n"/>
      <c r="D112" s="28" t="n"/>
      <c r="E112" s="28" t="n"/>
      <c r="F112" s="28" t="n"/>
      <c r="G112" s="60" t="n"/>
    </row>
    <row r="113">
      <c r="A113" s="60" t="n"/>
      <c r="B113" s="60" t="n"/>
      <c r="C113" s="28" t="n"/>
      <c r="D113" s="28" t="n"/>
      <c r="E113" s="28" t="n"/>
      <c r="F113" s="28" t="n"/>
      <c r="G113" s="60" t="n"/>
    </row>
    <row r="114">
      <c r="A114" s="60" t="n"/>
      <c r="B114" s="60" t="n"/>
      <c r="C114" s="28" t="n"/>
      <c r="D114" s="28" t="n"/>
      <c r="E114" s="28" t="n"/>
      <c r="F114" s="28" t="n"/>
      <c r="G114" s="60" t="n"/>
    </row>
    <row r="115">
      <c r="A115" s="60" t="n"/>
      <c r="B115" s="60" t="n"/>
      <c r="C115" s="28" t="n"/>
      <c r="D115" s="28" t="n"/>
      <c r="E115" s="28" t="n"/>
      <c r="F115" s="28" t="n"/>
      <c r="G115" s="60" t="n"/>
    </row>
    <row r="116">
      <c r="A116" s="60" t="n"/>
      <c r="B116" s="60" t="n"/>
      <c r="C116" s="28" t="n"/>
      <c r="D116" s="28" t="n"/>
      <c r="E116" s="28" t="n"/>
      <c r="F116" s="28" t="n"/>
      <c r="G116" s="60" t="n"/>
    </row>
    <row r="117">
      <c r="A117" s="60" t="n"/>
      <c r="B117" s="60" t="n"/>
      <c r="C117" s="28" t="n"/>
      <c r="D117" s="28" t="n"/>
      <c r="E117" s="28" t="n"/>
      <c r="F117" s="28" t="n"/>
      <c r="G117" s="60" t="n"/>
    </row>
    <row r="118">
      <c r="A118" s="60" t="n"/>
      <c r="B118" s="60" t="n"/>
      <c r="C118" s="28" t="n"/>
      <c r="D118" s="28" t="n"/>
      <c r="E118" s="28" t="n"/>
      <c r="F118" s="28" t="n"/>
      <c r="G118" s="60" t="n"/>
    </row>
    <row r="119">
      <c r="A119" s="60" t="n"/>
      <c r="B119" s="60" t="n"/>
      <c r="C119" s="28" t="n"/>
      <c r="D119" s="28" t="n"/>
      <c r="E119" s="28" t="n"/>
      <c r="F119" s="28" t="n"/>
      <c r="G119" s="60" t="n"/>
    </row>
    <row r="120">
      <c r="A120" s="60" t="n"/>
      <c r="B120" s="60" t="n"/>
      <c r="C120" s="28" t="n"/>
      <c r="D120" s="28" t="n"/>
      <c r="E120" s="28" t="n"/>
      <c r="F120" s="28" t="n"/>
      <c r="G120" s="60" t="n"/>
    </row>
    <row r="121">
      <c r="A121" s="60" t="n"/>
      <c r="B121" s="60" t="n"/>
      <c r="C121" s="28" t="n"/>
      <c r="D121" s="28" t="n"/>
      <c r="E121" s="28" t="n"/>
      <c r="F121" s="28" t="n"/>
      <c r="G121" s="60" t="n"/>
    </row>
    <row r="122">
      <c r="A122" s="60" t="n"/>
      <c r="B122" s="60" t="n"/>
      <c r="C122" s="28" t="n"/>
      <c r="D122" s="28" t="n"/>
      <c r="E122" s="28" t="n"/>
      <c r="F122" s="28" t="n"/>
      <c r="G122" s="60" t="n"/>
    </row>
    <row r="123">
      <c r="A123" s="60" t="n"/>
      <c r="B123" s="60" t="n"/>
      <c r="C123" s="28" t="n"/>
      <c r="D123" s="28" t="n"/>
      <c r="E123" s="28" t="n"/>
      <c r="F123" s="28" t="n"/>
      <c r="G123" s="60" t="n"/>
    </row>
    <row r="124">
      <c r="A124" s="60" t="n"/>
      <c r="B124" s="60" t="n"/>
      <c r="C124" s="28" t="n"/>
      <c r="D124" s="28" t="n"/>
      <c r="E124" s="28" t="n"/>
      <c r="F124" s="28" t="n"/>
      <c r="G124" s="60" t="n"/>
    </row>
    <row r="125">
      <c r="A125" s="60" t="n"/>
      <c r="B125" s="60" t="n"/>
      <c r="C125" s="28" t="n"/>
      <c r="D125" s="28" t="n"/>
      <c r="E125" s="28" t="n"/>
      <c r="F125" s="28" t="n"/>
      <c r="G125" s="60" t="n"/>
    </row>
    <row r="126">
      <c r="A126" s="60" t="n"/>
      <c r="B126" s="60" t="n"/>
      <c r="C126" s="28" t="n"/>
      <c r="D126" s="28" t="n"/>
      <c r="E126" s="28" t="n"/>
      <c r="F126" s="28" t="n"/>
      <c r="G126" s="60" t="n"/>
    </row>
    <row r="127">
      <c r="A127" s="60" t="n"/>
      <c r="B127" s="60" t="n"/>
      <c r="C127" s="28" t="n"/>
      <c r="D127" s="28" t="n"/>
      <c r="E127" s="28" t="n"/>
      <c r="F127" s="28" t="n"/>
      <c r="G127" s="60" t="n"/>
    </row>
    <row r="128">
      <c r="A128" s="60" t="n"/>
      <c r="B128" s="60" t="n"/>
      <c r="C128" s="28" t="n"/>
      <c r="D128" s="28" t="n"/>
      <c r="E128" s="28" t="n"/>
      <c r="F128" s="28" t="n"/>
      <c r="G128" s="60" t="n"/>
    </row>
    <row r="129">
      <c r="A129" s="60" t="n"/>
      <c r="B129" s="60" t="n"/>
      <c r="C129" s="28" t="n"/>
      <c r="D129" s="28" t="n"/>
      <c r="E129" s="28" t="n"/>
      <c r="F129" s="28" t="n"/>
      <c r="G129" s="60" t="n"/>
    </row>
    <row r="130">
      <c r="A130" s="60" t="n"/>
      <c r="B130" s="60" t="n"/>
      <c r="C130" s="28" t="n"/>
      <c r="D130" s="28" t="n"/>
      <c r="E130" s="28" t="n"/>
      <c r="F130" s="28" t="n"/>
      <c r="G130" s="60" t="n"/>
    </row>
    <row r="131">
      <c r="A131" s="60" t="n"/>
      <c r="B131" s="60" t="n"/>
      <c r="C131" s="28" t="n"/>
      <c r="D131" s="28" t="n"/>
      <c r="E131" s="28" t="n"/>
      <c r="F131" s="28" t="n"/>
      <c r="G131" s="60" t="n"/>
    </row>
    <row r="132">
      <c r="A132" s="60" t="n"/>
      <c r="B132" s="60" t="n"/>
      <c r="C132" s="28" t="n"/>
      <c r="D132" s="28" t="n"/>
      <c r="E132" s="28" t="n"/>
      <c r="F132" s="28" t="n"/>
      <c r="G132" s="60" t="n"/>
    </row>
    <row r="133">
      <c r="A133" s="60" t="n"/>
      <c r="B133" s="60" t="n"/>
      <c r="C133" s="28" t="n"/>
      <c r="D133" s="28" t="n"/>
      <c r="E133" s="28" t="n"/>
      <c r="F133" s="28" t="n"/>
      <c r="G133" s="60" t="n"/>
    </row>
    <row r="134">
      <c r="A134" s="60" t="n"/>
      <c r="B134" s="60" t="n"/>
      <c r="C134" s="28" t="n"/>
      <c r="D134" s="28" t="n"/>
      <c r="E134" s="28" t="n"/>
      <c r="F134" s="28" t="n"/>
      <c r="G134" s="60" t="n"/>
    </row>
    <row r="135">
      <c r="A135" s="60" t="n"/>
      <c r="B135" s="60" t="n"/>
      <c r="C135" s="28" t="n"/>
      <c r="D135" s="28" t="n"/>
      <c r="E135" s="28" t="n"/>
      <c r="F135" s="28" t="n"/>
      <c r="G135" s="60" t="n"/>
    </row>
    <row r="136">
      <c r="A136" s="60" t="n"/>
      <c r="B136" s="60" t="n"/>
      <c r="C136" s="28" t="n"/>
      <c r="D136" s="28" t="n"/>
      <c r="E136" s="28" t="n"/>
      <c r="F136" s="28" t="n"/>
      <c r="G136" s="60" t="n"/>
    </row>
    <row r="137">
      <c r="A137" s="60" t="n"/>
      <c r="B137" s="60" t="n"/>
      <c r="C137" s="28" t="n"/>
      <c r="D137" s="28" t="n"/>
      <c r="E137" s="28" t="n"/>
      <c r="F137" s="28" t="n"/>
      <c r="G137" s="60" t="n"/>
    </row>
    <row r="138">
      <c r="A138" s="60" t="n"/>
      <c r="B138" s="60" t="n"/>
      <c r="C138" s="28" t="n"/>
      <c r="D138" s="28" t="n"/>
      <c r="E138" s="28" t="n"/>
      <c r="F138" s="28" t="n"/>
      <c r="G138" s="60" t="n"/>
    </row>
    <row r="139">
      <c r="A139" s="60" t="n"/>
      <c r="B139" s="60" t="n"/>
      <c r="C139" s="28" t="n"/>
      <c r="D139" s="28" t="n"/>
      <c r="E139" s="28" t="n"/>
      <c r="F139" s="28" t="n"/>
      <c r="G139" s="60" t="n"/>
    </row>
    <row r="140">
      <c r="A140" s="60" t="n"/>
      <c r="B140" s="60" t="n"/>
      <c r="C140" s="28" t="n"/>
      <c r="D140" s="28" t="n"/>
      <c r="E140" s="28" t="n"/>
      <c r="F140" s="28" t="n"/>
      <c r="G140" s="60" t="n"/>
    </row>
    <row r="141">
      <c r="A141" s="60" t="n"/>
      <c r="B141" s="60" t="n"/>
      <c r="C141" s="28" t="n"/>
      <c r="D141" s="28" t="n"/>
      <c r="E141" s="28" t="n"/>
      <c r="F141" s="28" t="n"/>
      <c r="G141" s="60" t="n"/>
    </row>
    <row r="142">
      <c r="A142" s="60" t="n"/>
      <c r="B142" s="60" t="n"/>
      <c r="C142" s="28" t="n"/>
      <c r="D142" s="28" t="n"/>
      <c r="E142" s="28" t="n"/>
      <c r="F142" s="28" t="n"/>
      <c r="G142" s="60" t="n"/>
    </row>
    <row r="143">
      <c r="A143" s="60" t="n"/>
      <c r="B143" s="60" t="n"/>
      <c r="C143" s="28" t="n"/>
      <c r="D143" s="28" t="n"/>
      <c r="E143" s="28" t="n"/>
      <c r="F143" s="28" t="n"/>
      <c r="G143" s="60" t="n"/>
    </row>
    <row r="144">
      <c r="A144" s="60" t="n"/>
      <c r="B144" s="60" t="n"/>
      <c r="C144" s="28" t="n"/>
      <c r="D144" s="28" t="n"/>
      <c r="E144" s="28" t="n"/>
      <c r="F144" s="28" t="n"/>
      <c r="G144" s="60" t="n"/>
    </row>
    <row r="145">
      <c r="A145" s="60" t="n"/>
      <c r="B145" s="60" t="n"/>
      <c r="C145" s="28" t="n"/>
      <c r="D145" s="28" t="n"/>
      <c r="E145" s="28" t="n"/>
      <c r="F145" s="28" t="n"/>
      <c r="G145" s="60" t="n"/>
    </row>
    <row r="146">
      <c r="A146" s="60" t="n"/>
      <c r="B146" s="60" t="n"/>
      <c r="C146" s="28" t="n"/>
      <c r="D146" s="28" t="n"/>
      <c r="E146" s="28" t="n"/>
      <c r="F146" s="28" t="n"/>
      <c r="G146" s="60" t="n"/>
    </row>
    <row r="147">
      <c r="A147" s="60" t="n"/>
      <c r="B147" s="60" t="n"/>
      <c r="C147" s="28" t="n"/>
      <c r="D147" s="28" t="n"/>
      <c r="E147" s="28" t="n"/>
      <c r="F147" s="28" t="n"/>
      <c r="G147" s="60" t="n"/>
    </row>
    <row r="148">
      <c r="A148" s="60" t="n"/>
      <c r="B148" s="60" t="n"/>
      <c r="C148" s="28" t="n"/>
      <c r="D148" s="28" t="n"/>
      <c r="E148" s="28" t="n"/>
      <c r="F148" s="28" t="n"/>
      <c r="G148" s="60" t="n"/>
    </row>
    <row r="149">
      <c r="A149" s="60" t="n"/>
      <c r="B149" s="60" t="n"/>
      <c r="C149" s="28" t="n"/>
      <c r="D149" s="28" t="n"/>
      <c r="E149" s="28" t="n"/>
      <c r="F149" s="28" t="n"/>
      <c r="G149" s="60" t="n"/>
    </row>
    <row r="150">
      <c r="A150" s="60" t="n"/>
      <c r="B150" s="60" t="n"/>
      <c r="C150" s="28" t="n"/>
      <c r="D150" s="28" t="n"/>
      <c r="E150" s="28" t="n"/>
      <c r="F150" s="28" t="n"/>
      <c r="G150" s="60" t="n"/>
    </row>
    <row r="151">
      <c r="A151" s="60" t="n"/>
      <c r="B151" s="60" t="n"/>
      <c r="C151" s="28" t="n"/>
      <c r="D151" s="28" t="n"/>
      <c r="E151" s="28" t="n"/>
      <c r="F151" s="28" t="n"/>
      <c r="G151" s="60" t="n"/>
    </row>
    <row r="152">
      <c r="A152" s="60" t="n"/>
      <c r="B152" s="60" t="n"/>
      <c r="C152" s="28" t="n"/>
      <c r="D152" s="28" t="n"/>
      <c r="E152" s="28" t="n"/>
      <c r="F152" s="28" t="n"/>
      <c r="G152" s="60" t="n"/>
    </row>
    <row r="153">
      <c r="A153" s="60" t="n"/>
      <c r="B153" s="60" t="n"/>
      <c r="C153" s="28" t="n"/>
      <c r="D153" s="28" t="n"/>
      <c r="E153" s="28" t="n"/>
      <c r="F153" s="28" t="n"/>
      <c r="G153" s="60" t="n"/>
    </row>
    <row r="154">
      <c r="A154" s="60" t="n"/>
      <c r="B154" s="60" t="n"/>
      <c r="C154" s="28" t="n"/>
      <c r="D154" s="28" t="n"/>
      <c r="E154" s="28" t="n"/>
      <c r="F154" s="28" t="n"/>
      <c r="G154" s="60" t="n"/>
    </row>
    <row r="155">
      <c r="A155" s="60" t="n"/>
      <c r="B155" s="60" t="n"/>
      <c r="C155" s="28" t="n"/>
      <c r="D155" s="28" t="n"/>
      <c r="E155" s="28" t="n"/>
      <c r="F155" s="28" t="n"/>
      <c r="G155" s="60" t="n"/>
    </row>
    <row r="156">
      <c r="A156" s="60" t="n"/>
      <c r="B156" s="60" t="n"/>
      <c r="C156" s="28" t="n"/>
      <c r="D156" s="28" t="n"/>
      <c r="E156" s="28" t="n"/>
      <c r="F156" s="28" t="n"/>
      <c r="G156" s="60" t="n"/>
    </row>
    <row r="157">
      <c r="A157" s="60" t="n"/>
      <c r="B157" s="60" t="n"/>
      <c r="C157" s="28" t="n"/>
      <c r="D157" s="28" t="n"/>
      <c r="E157" s="28" t="n"/>
      <c r="F157" s="28" t="n"/>
      <c r="G157" s="60" t="n"/>
    </row>
    <row r="158">
      <c r="A158" s="60" t="n"/>
      <c r="B158" s="60" t="n"/>
      <c r="C158" s="28" t="n"/>
      <c r="D158" s="28" t="n"/>
      <c r="E158" s="28" t="n"/>
      <c r="F158" s="28" t="n"/>
      <c r="G158" s="60" t="n"/>
    </row>
    <row r="159">
      <c r="A159" s="60" t="n"/>
      <c r="B159" s="60" t="n"/>
      <c r="C159" s="28" t="n"/>
      <c r="D159" s="28" t="n"/>
      <c r="E159" s="28" t="n"/>
      <c r="F159" s="28" t="n"/>
      <c r="G159" s="60" t="n"/>
    </row>
    <row r="160">
      <c r="A160" s="60" t="n"/>
      <c r="B160" s="60" t="n"/>
      <c r="C160" s="28" t="n"/>
      <c r="D160" s="28" t="n"/>
      <c r="E160" s="28" t="n"/>
      <c r="F160" s="28" t="n"/>
      <c r="G160" s="60" t="n"/>
    </row>
    <row r="161">
      <c r="A161" s="60" t="n"/>
      <c r="B161" s="60" t="n"/>
      <c r="C161" s="28" t="n"/>
      <c r="D161" s="28" t="n"/>
      <c r="E161" s="28" t="n"/>
      <c r="F161" s="28" t="n"/>
      <c r="G161" s="60" t="n"/>
    </row>
    <row r="162">
      <c r="A162" s="60" t="n"/>
      <c r="B162" s="60" t="n"/>
      <c r="C162" s="28" t="n"/>
      <c r="D162" s="28" t="n"/>
      <c r="E162" s="28" t="n"/>
      <c r="F162" s="28" t="n"/>
      <c r="G162" s="60" t="n"/>
    </row>
    <row r="163">
      <c r="A163" s="60" t="n"/>
      <c r="B163" s="60" t="n"/>
      <c r="C163" s="28" t="n"/>
      <c r="D163" s="28" t="n"/>
      <c r="E163" s="28" t="n"/>
      <c r="F163" s="28" t="n"/>
      <c r="G163" s="60" t="n"/>
    </row>
    <row r="164">
      <c r="A164" s="60" t="n"/>
      <c r="B164" s="60" t="n"/>
      <c r="C164" s="28" t="n"/>
      <c r="D164" s="28" t="n"/>
      <c r="E164" s="28" t="n"/>
      <c r="F164" s="28" t="n"/>
      <c r="G164" s="60" t="n"/>
    </row>
    <row r="165">
      <c r="A165" s="60" t="n"/>
      <c r="B165" s="60" t="n"/>
      <c r="C165" s="28" t="n"/>
      <c r="D165" s="28" t="n"/>
      <c r="E165" s="28" t="n"/>
      <c r="F165" s="28" t="n"/>
      <c r="G165" s="60" t="n"/>
    </row>
    <row r="166">
      <c r="A166" s="60" t="n"/>
      <c r="B166" s="60" t="n"/>
      <c r="C166" s="28" t="n"/>
      <c r="D166" s="28" t="n"/>
      <c r="E166" s="28" t="n"/>
      <c r="F166" s="28" t="n"/>
      <c r="G166" s="60" t="n"/>
    </row>
    <row r="167">
      <c r="A167" s="60" t="n"/>
      <c r="B167" s="60" t="n"/>
      <c r="C167" s="28" t="n"/>
      <c r="D167" s="28" t="n"/>
      <c r="E167" s="28" t="n"/>
      <c r="F167" s="28" t="n"/>
      <c r="G167" s="60" t="n"/>
    </row>
    <row r="168">
      <c r="A168" s="60" t="n"/>
      <c r="B168" s="60" t="n"/>
      <c r="C168" s="28" t="n"/>
      <c r="D168" s="28" t="n"/>
      <c r="E168" s="28" t="n"/>
      <c r="F168" s="28" t="n"/>
      <c r="G168" s="60" t="n"/>
    </row>
    <row r="169">
      <c r="A169" s="60" t="n"/>
      <c r="B169" s="60" t="n"/>
      <c r="C169" s="28" t="n"/>
      <c r="D169" s="28" t="n"/>
      <c r="E169" s="28" t="n"/>
      <c r="F169" s="28" t="n"/>
      <c r="G169" s="60" t="n"/>
    </row>
    <row r="170">
      <c r="A170" s="60" t="n"/>
      <c r="B170" s="60" t="n"/>
      <c r="C170" s="28" t="n"/>
      <c r="D170" s="28" t="n"/>
      <c r="E170" s="28" t="n"/>
      <c r="F170" s="28" t="n"/>
      <c r="G170" s="60" t="n"/>
    </row>
    <row r="171">
      <c r="A171" s="60" t="n"/>
      <c r="B171" s="60" t="n"/>
      <c r="C171" s="28" t="n"/>
      <c r="D171" s="28" t="n"/>
      <c r="E171" s="28" t="n"/>
      <c r="F171" s="28" t="n"/>
      <c r="G171" s="60" t="n"/>
    </row>
    <row r="172">
      <c r="A172" s="60" t="n"/>
      <c r="B172" s="60" t="n"/>
      <c r="C172" s="28" t="n"/>
      <c r="D172" s="28" t="n"/>
      <c r="E172" s="28" t="n"/>
      <c r="F172" s="28" t="n"/>
      <c r="G172" s="60" t="n"/>
    </row>
    <row r="173">
      <c r="A173" s="60" t="n"/>
      <c r="B173" s="60" t="n"/>
      <c r="C173" s="28" t="n"/>
      <c r="D173" s="28" t="n"/>
      <c r="E173" s="28" t="n"/>
      <c r="F173" s="28" t="n"/>
      <c r="G173" s="60" t="n"/>
    </row>
    <row r="174">
      <c r="A174" s="60" t="n"/>
      <c r="B174" s="60" t="n"/>
      <c r="C174" s="28" t="n"/>
      <c r="D174" s="28" t="n"/>
      <c r="E174" s="28" t="n"/>
      <c r="F174" s="28" t="n"/>
      <c r="G174" s="60" t="n"/>
    </row>
    <row r="175">
      <c r="A175" s="60" t="n"/>
      <c r="B175" s="60" t="n"/>
      <c r="C175" s="28" t="n"/>
      <c r="D175" s="28" t="n"/>
      <c r="E175" s="28" t="n"/>
      <c r="F175" s="28" t="n"/>
      <c r="G175" s="60" t="n"/>
    </row>
    <row r="176">
      <c r="A176" s="60" t="n"/>
      <c r="B176" s="60" t="n"/>
      <c r="C176" s="28" t="n"/>
      <c r="D176" s="28" t="n"/>
      <c r="E176" s="28" t="n"/>
      <c r="F176" s="28" t="n"/>
      <c r="G176" s="60" t="n"/>
    </row>
    <row r="177">
      <c r="A177" s="60" t="n"/>
      <c r="B177" s="60" t="n"/>
      <c r="C177" s="28" t="n"/>
      <c r="D177" s="28" t="n"/>
      <c r="E177" s="28" t="n"/>
      <c r="F177" s="28" t="n"/>
      <c r="G177" s="60" t="n"/>
    </row>
    <row r="178">
      <c r="A178" s="60" t="n"/>
      <c r="B178" s="60" t="n"/>
      <c r="C178" s="28" t="n"/>
      <c r="D178" s="28" t="n"/>
      <c r="E178" s="28" t="n"/>
      <c r="F178" s="28" t="n"/>
      <c r="G178" s="60" t="n"/>
    </row>
    <row r="179">
      <c r="A179" s="60" t="n"/>
      <c r="B179" s="60" t="n"/>
      <c r="C179" s="28" t="n"/>
      <c r="D179" s="28" t="n"/>
      <c r="E179" s="28" t="n"/>
      <c r="F179" s="28" t="n"/>
      <c r="G179" s="60" t="n"/>
    </row>
    <row r="180">
      <c r="A180" s="60" t="n"/>
      <c r="B180" s="60" t="n"/>
      <c r="C180" s="28" t="n"/>
      <c r="D180" s="28" t="n"/>
      <c r="E180" s="28" t="n"/>
      <c r="F180" s="28" t="n"/>
      <c r="G180" s="60" t="n"/>
    </row>
    <row r="181">
      <c r="A181" s="60" t="n"/>
      <c r="B181" s="60" t="n"/>
      <c r="C181" s="28" t="n"/>
      <c r="D181" s="28" t="n"/>
      <c r="E181" s="28" t="n"/>
      <c r="F181" s="28" t="n"/>
      <c r="G181" s="60" t="n"/>
    </row>
    <row r="182">
      <c r="A182" s="60" t="n"/>
      <c r="B182" s="60" t="n"/>
      <c r="C182" s="28" t="n"/>
      <c r="D182" s="28" t="n"/>
      <c r="E182" s="28" t="n"/>
      <c r="F182" s="28" t="n"/>
      <c r="G182" s="60" t="n"/>
    </row>
    <row r="183">
      <c r="A183" s="60" t="n"/>
      <c r="B183" s="60" t="n"/>
      <c r="C183" s="28" t="n"/>
      <c r="D183" s="28" t="n"/>
      <c r="E183" s="28" t="n"/>
      <c r="F183" s="28" t="n"/>
      <c r="G183" s="60" t="n"/>
    </row>
    <row r="184">
      <c r="A184" s="60" t="n"/>
      <c r="B184" s="60" t="n"/>
      <c r="C184" s="28" t="n"/>
      <c r="D184" s="28" t="n"/>
      <c r="E184" s="28" t="n"/>
      <c r="F184" s="28" t="n"/>
      <c r="G184" s="60" t="n"/>
    </row>
    <row r="185">
      <c r="A185" s="60" t="n"/>
      <c r="B185" s="60" t="n"/>
      <c r="C185" s="28" t="n"/>
      <c r="D185" s="28" t="n"/>
      <c r="E185" s="28" t="n"/>
      <c r="F185" s="28" t="n"/>
      <c r="G185" s="60" t="n"/>
    </row>
    <row r="186">
      <c r="A186" s="60" t="n"/>
      <c r="B186" s="60" t="n"/>
      <c r="C186" s="28" t="n"/>
      <c r="D186" s="28" t="n"/>
      <c r="E186" s="28" t="n"/>
      <c r="F186" s="28" t="n"/>
      <c r="G186" s="60" t="n"/>
    </row>
    <row r="187">
      <c r="A187" s="60" t="n"/>
      <c r="B187" s="60" t="n"/>
      <c r="C187" s="28" t="n"/>
      <c r="D187" s="28" t="n"/>
      <c r="E187" s="28" t="n"/>
      <c r="F187" s="28" t="n"/>
      <c r="G187" s="60" t="n"/>
    </row>
    <row r="188">
      <c r="A188" s="60" t="n"/>
      <c r="B188" s="60" t="n"/>
      <c r="C188" s="28" t="n"/>
      <c r="D188" s="28" t="n"/>
      <c r="E188" s="28" t="n"/>
      <c r="F188" s="28" t="n"/>
      <c r="G188" s="60" t="n"/>
    </row>
    <row r="189">
      <c r="A189" s="60" t="n"/>
      <c r="B189" s="60" t="n"/>
      <c r="C189" s="28" t="n"/>
      <c r="D189" s="28" t="n"/>
      <c r="E189" s="28" t="n"/>
      <c r="F189" s="28" t="n"/>
      <c r="G189" s="60" t="n"/>
    </row>
    <row r="190">
      <c r="A190" s="60" t="n"/>
      <c r="B190" s="60" t="n"/>
      <c r="C190" s="28" t="n"/>
      <c r="D190" s="28" t="n"/>
      <c r="E190" s="28" t="n"/>
      <c r="F190" s="28" t="n"/>
      <c r="G190" s="60" t="n"/>
    </row>
    <row r="191">
      <c r="A191" s="60" t="n"/>
      <c r="B191" s="60" t="n"/>
      <c r="C191" s="28" t="n"/>
      <c r="D191" s="28" t="n"/>
      <c r="E191" s="28" t="n"/>
      <c r="F191" s="28" t="n"/>
      <c r="G191" s="60" t="n"/>
    </row>
    <row r="192">
      <c r="A192" s="60" t="n"/>
      <c r="B192" s="60" t="n"/>
      <c r="C192" s="28" t="n"/>
      <c r="D192" s="28" t="n"/>
      <c r="E192" s="28" t="n"/>
      <c r="F192" s="28" t="n"/>
      <c r="G192" s="60" t="n"/>
    </row>
    <row r="193">
      <c r="A193" s="60" t="n"/>
      <c r="B193" s="60" t="n"/>
      <c r="C193" s="28" t="n"/>
      <c r="D193" s="28" t="n"/>
      <c r="E193" s="28" t="n"/>
      <c r="F193" s="28" t="n"/>
      <c r="G193" s="60" t="n"/>
    </row>
    <row r="194">
      <c r="A194" s="60" t="n"/>
      <c r="B194" s="60" t="n"/>
      <c r="C194" s="28" t="n"/>
      <c r="D194" s="28" t="n"/>
      <c r="E194" s="28" t="n"/>
      <c r="F194" s="28" t="n"/>
      <c r="G194" s="60" t="n"/>
    </row>
    <row r="195">
      <c r="A195" s="60" t="n"/>
      <c r="B195" s="60" t="n"/>
      <c r="C195" s="28" t="n"/>
      <c r="D195" s="28" t="n"/>
      <c r="E195" s="28" t="n"/>
      <c r="F195" s="28" t="n"/>
      <c r="G195" s="60" t="n"/>
    </row>
    <row r="196">
      <c r="A196" s="60" t="n"/>
      <c r="B196" s="60" t="n"/>
      <c r="C196" s="28" t="n"/>
      <c r="D196" s="28" t="n"/>
      <c r="E196" s="28" t="n"/>
      <c r="F196" s="28" t="n"/>
      <c r="G196" s="60" t="n"/>
    </row>
    <row r="197">
      <c r="A197" s="60" t="n"/>
      <c r="B197" s="60" t="n"/>
      <c r="C197" s="28" t="n"/>
      <c r="D197" s="28" t="n"/>
      <c r="E197" s="28" t="n"/>
      <c r="F197" s="28" t="n"/>
      <c r="G197" s="60" t="n"/>
    </row>
    <row r="198">
      <c r="A198" s="60" t="n"/>
      <c r="B198" s="60" t="n"/>
      <c r="C198" s="28" t="n"/>
      <c r="D198" s="28" t="n"/>
      <c r="E198" s="28" t="n"/>
      <c r="F198" s="28" t="n"/>
      <c r="G198" s="60" t="n"/>
    </row>
    <row r="199">
      <c r="A199" s="60" t="n"/>
      <c r="B199" s="60" t="n"/>
      <c r="C199" s="28" t="n"/>
      <c r="D199" s="28" t="n"/>
      <c r="E199" s="28" t="n"/>
      <c r="F199" s="28" t="n"/>
      <c r="G199" s="60" t="n"/>
    </row>
    <row r="200">
      <c r="A200" s="60" t="n"/>
      <c r="B200" s="60" t="n"/>
      <c r="C200" s="28" t="n"/>
      <c r="D200" s="28" t="n"/>
      <c r="E200" s="28" t="n"/>
      <c r="F200" s="28" t="n"/>
      <c r="G200" s="60" t="n"/>
    </row>
  </sheetData>
  <mergeCells count="6">
    <mergeCell ref="A14:G14"/>
    <mergeCell ref="A4:G4"/>
    <mergeCell ref="A45:E45"/>
    <mergeCell ref="A2:G2"/>
    <mergeCell ref="A23:E23"/>
    <mergeCell ref="A67:E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A1" sqref="A1"/>
    </sheetView>
  </sheetViews>
  <sheetFormatPr baseColWidth="10" defaultRowHeight="15"/>
  <cols>
    <col width="28.7109375" customWidth="1" style="58" min="1" max="1"/>
    <col width="36.7109375" customWidth="1" style="58" min="2" max="2"/>
    <col width="22.7109375" customWidth="1" style="32" min="3" max="3"/>
    <col width="78.7109375" customWidth="1" style="32" min="4" max="4"/>
    <col width="62.7109375" customWidth="1" style="32" min="5" max="5"/>
    <col width="11.42578125" customWidth="1" style="32" min="6" max="6"/>
  </cols>
  <sheetData>
    <row r="1" ht="21" customHeight="1" s="58">
      <c r="A1" s="26" t="inlineStr">
        <is>
          <t>Calculo de cualquier cliente</t>
        </is>
      </c>
    </row>
    <row r="2" ht="36" customHeight="1" s="58">
      <c r="A2" s="56" t="inlineStr">
        <is>
          <t>Escribe en amarillo el nombre exacto de la columna Familia de Measurement. El entorno, los GB, los eventos/s, el KB/doc y el ECU salen solos. Sirve para PRE, PRO y Monitoring.</t>
        </is>
      </c>
    </row>
    <row r="3"/>
    <row r="4">
      <c r="B4" t="inlineStr">
        <is>
          <t>Familia</t>
        </is>
      </c>
      <c r="C4" s="38" t="inlineStr">
        <is>
          <t>pro-app-appserver</t>
        </is>
      </c>
      <c r="D4" s="32" t="inlineStr">
        <is>
          <t>Nombre exacto de Measurement. Es la unica casilla que hay que cambiar.</t>
        </is>
      </c>
      <c r="E4" s="32" t="inlineStr">
        <is>
          <t>Tiene que coincidir con la columna Familia, no con una parte del nombre.</t>
        </is>
      </c>
    </row>
    <row r="5"/>
    <row r="6">
      <c r="A6" s="57" t="inlineStr">
        <is>
          <t>Familia elegida</t>
        </is>
      </c>
    </row>
    <row r="7">
      <c r="A7" s="22" t="inlineStr">
        <is>
          <t>Familia</t>
        </is>
      </c>
      <c r="B7" s="22" t="inlineStr">
        <is>
          <t>Entorno</t>
        </is>
      </c>
      <c r="C7" s="39" t="inlineStr">
        <is>
          <t>GB hot</t>
        </is>
      </c>
      <c r="D7" s="39" t="inlineStr">
        <is>
          <t>GB frozen</t>
        </is>
      </c>
      <c r="E7" s="39" t="inlineStr">
        <is>
          <t>Eventos/s 15 min</t>
        </is>
      </c>
      <c r="F7" s="39" t="inlineStr">
        <is>
          <t>KB/doc</t>
        </is>
      </c>
      <c r="G7" s="22" t="inlineStr">
        <is>
          <t>Que es</t>
        </is>
      </c>
    </row>
    <row r="8" ht="48" customHeight="1" s="58">
      <c r="A8" s="56" t="inlineStr">
        <is>
          <t>Nombre exacto de la columna Familia en Measurement. La celda amarilla se cambia para otro cliente.</t>
        </is>
      </c>
      <c r="B8" s="56" t="inlineStr">
        <is>
          <t>Cluster de esa familia. Sale de Measurement y elige la tarifa y el denominador.</t>
        </is>
      </c>
      <c r="C8" s="40" t="inlineStr">
        <is>
          <t>GB de dataset en nodos hot de esta familia. Measurement columna GB hot.</t>
        </is>
      </c>
      <c r="D8" s="40" t="inlineStr">
        <is>
          <t>GB de dataset en nodos frozen de esta familia. Measurement columna GB frozen.</t>
        </is>
      </c>
      <c r="E8" s="40" t="inlineStr">
        <is>
          <t>Documentos con @timestamp en los ultimos 15 minutos, dividido entre 900. No entra en el ECU.</t>
        </is>
      </c>
      <c r="F8" s="40" t="inlineStr">
        <is>
          <t>Bytes de dataset primario / documentos / 1024. No entra en el ECU.</t>
        </is>
      </c>
      <c r="G8" s="56" t="inlineStr">
        <is>
          <t>Texto medido de Measurement. Dice que patron es. Si pone No esta en Measurement, el nombre no coincide.</t>
        </is>
      </c>
    </row>
    <row r="9">
      <c r="A9" s="27">
        <f>$C$4</f>
        <v/>
      </c>
      <c r="B9">
        <f>IF(A9="","",IFERROR(INDEX(Measurement!B:B,MATCH(A9,Measurement!A:A,0)),""))</f>
        <v/>
      </c>
      <c r="C9" s="32">
        <f>IF(A9="","",SUMIF(Measurement!A:A,A9,Measurement!G:G))</f>
        <v/>
      </c>
      <c r="D9" s="32">
        <f>IF(A9="","",SUMIF(Measurement!A:A,A9,Measurement!H:H))</f>
        <v/>
      </c>
      <c r="E9" s="32">
        <f>IF(A9="","",SUMIF(Measurement!A:A,A9,Measurement!D:D))</f>
        <v/>
      </c>
      <c r="F9" s="32">
        <f>IF(A9="","",SUMIF(Measurement!A:A,A9,Measurement!E:E))</f>
        <v/>
      </c>
      <c r="G9">
        <f>IF(A9="","",IFERROR(INDEX(Measurement!C:C,MATCH(A9,Measurement!A:A,0)),"No esta en Measurement"))</f>
        <v/>
      </c>
    </row>
    <row r="10">
      <c r="A10" s="17" t="inlineStr">
        <is>
          <t>Suma</t>
        </is>
      </c>
      <c r="B10" s="17" t="n"/>
      <c r="C10" s="41">
        <f>SUM(C9:C9)</f>
        <v/>
      </c>
      <c r="D10" s="41">
        <f>SUM(D9:D9)</f>
        <v/>
      </c>
      <c r="E10" s="41">
        <f>SUM(E9:E9)</f>
        <v/>
      </c>
      <c r="F10" s="41" t="n"/>
      <c r="G10" s="17" t="n"/>
    </row>
    <row r="11"/>
    <row r="12">
      <c r="A12" s="57" t="inlineStr">
        <is>
          <t>Calculo</t>
        </is>
      </c>
    </row>
    <row r="13">
      <c r="A13" s="22" t="inlineStr">
        <is>
          <t>Paso</t>
        </is>
      </c>
      <c r="B13" s="22" t="inlineStr">
        <is>
          <t>Casilla</t>
        </is>
      </c>
      <c r="C13" s="39" t="inlineStr">
        <is>
          <t>Valor</t>
        </is>
      </c>
      <c r="D13" s="39" t="inlineStr">
        <is>
          <t>Que es</t>
        </is>
      </c>
      <c r="E13" s="39" t="inlineStr">
        <is>
          <t>Como se calcula</t>
        </is>
      </c>
    </row>
    <row r="14">
      <c r="A14" t="n">
        <v>1</v>
      </c>
      <c r="B14" t="inlineStr">
        <is>
          <t>GB hot del cliente</t>
        </is>
      </c>
      <c r="C14" s="32">
        <f>C10</f>
        <v/>
      </c>
      <c r="D14" s="32" t="inlineStr">
        <is>
          <t>Suma de GB hot de las familias de este cliente en el entorno de la familia.</t>
        </is>
      </c>
      <c r="E14" s="32" t="inlineStr">
        <is>
          <t>Suma GB hot de la tabla de la familia.</t>
        </is>
      </c>
    </row>
    <row r="15">
      <c r="A15" t="n">
        <v>2</v>
      </c>
      <c r="B15" t="inlineStr">
        <is>
          <t>GB hot del cluster</t>
        </is>
      </c>
      <c r="C15" s="32">
        <f>IF(B9="PRE",Parameters!$B$21,IF(B9="PRO",Parameters!$C$21,Parameters!$D$21))</f>
        <v/>
      </c>
      <c r="D15" s="32" t="inlineStr">
        <is>
          <t>Denominador. Todo el hot del entorno de la familia, no solo este cliente.</t>
        </is>
      </c>
      <c r="E15" s="32" t="inlineStr">
        <is>
          <t>Parameters, suma de Measurement.</t>
        </is>
      </c>
    </row>
    <row r="16">
      <c r="A16" t="n">
        <v>3</v>
      </c>
      <c r="B16" t="inlineStr">
        <is>
          <t>Cuota hot</t>
        </is>
      </c>
      <c r="C16" s="42">
        <f>IF(C15=0,0,C14/C15)</f>
        <v/>
      </c>
      <c r="D16" s="32" t="inlineStr">
        <is>
          <t>Parte del hot del cluster que es de este cliente.</t>
        </is>
      </c>
      <c r="E16" s="32" t="inlineStr">
        <is>
          <t>GB hot del cliente / GB hot del cluster.</t>
        </is>
      </c>
    </row>
    <row r="17">
      <c r="A17" t="n">
        <v>4</v>
      </c>
      <c r="B17" t="inlineStr">
        <is>
          <t>GB frozen del cliente</t>
        </is>
      </c>
      <c r="C17" s="32">
        <f>D10</f>
        <v/>
      </c>
      <c r="D17" s="32" t="inlineStr">
        <is>
          <t>Suma de GB frozen de las familias de este cliente en el entorno de la familia.</t>
        </is>
      </c>
      <c r="E17" s="32" t="inlineStr">
        <is>
          <t>Suma GB frozen de la tabla de la familia.</t>
        </is>
      </c>
    </row>
    <row r="18">
      <c r="A18" t="n">
        <v>5</v>
      </c>
      <c r="B18" t="inlineStr">
        <is>
          <t>GB frozen del cluster</t>
        </is>
      </c>
      <c r="C18" s="32">
        <f>IF(B9="PRE",Parameters!$B$22,IF(B9="PRO",Parameters!$C$22,Parameters!$D$22))</f>
        <v/>
      </c>
      <c r="D18" s="32" t="inlineStr">
        <is>
          <t>Denominador frozen del entorno de la familia.</t>
        </is>
      </c>
      <c r="E18" s="32" t="inlineStr">
        <is>
          <t>Parameters, suma de Measurement.</t>
        </is>
      </c>
    </row>
    <row r="19">
      <c r="A19" t="n">
        <v>6</v>
      </c>
      <c r="B19" t="inlineStr">
        <is>
          <t>Cuota frozen</t>
        </is>
      </c>
      <c r="C19" s="42">
        <f>IF(C18=0,0,C17/C18)</f>
        <v/>
      </c>
      <c r="D19" s="32" t="inlineStr">
        <is>
          <t>Parte del frozen del cluster que es de este cliente.</t>
        </is>
      </c>
      <c r="E19" s="32" t="inlineStr">
        <is>
          <t>GB frozen del cliente / GB frozen del cluster.</t>
        </is>
      </c>
    </row>
    <row r="20">
      <c r="A20" t="n">
        <v>7</v>
      </c>
      <c r="B20" t="inlineStr">
        <is>
          <t>ECU/h hot del cluster</t>
        </is>
      </c>
      <c r="C20" s="43">
        <f>IF(B9="PRE",Parameters!$B$11,IF(B9="PRO",Parameters!$C$11,Parameters!$E$11))</f>
        <v/>
      </c>
      <c r="D20" s="32" t="inlineStr">
        <is>
          <t>Tarifa por hora de los nodos hot del entorno de la familia. El disco va incluido.</t>
        </is>
      </c>
      <c r="E20" s="32" t="inlineStr">
        <is>
          <t>Parameters. Factura Elastic Cloud.</t>
        </is>
      </c>
    </row>
    <row r="21">
      <c r="A21" t="n">
        <v>8</v>
      </c>
      <c r="B21" t="inlineStr">
        <is>
          <t>ECU/h hot del cliente</t>
        </is>
      </c>
      <c r="C21" s="43">
        <f>C16*C20</f>
        <v/>
      </c>
      <c r="D21" s="32" t="inlineStr">
        <is>
          <t>Coste horario del hot que le toca a este cliente.</t>
        </is>
      </c>
      <c r="E21" s="32" t="inlineStr">
        <is>
          <t>Cuota hot x ECU/h hot del cluster.</t>
        </is>
      </c>
    </row>
    <row r="22">
      <c r="A22" t="n">
        <v>9</v>
      </c>
      <c r="B22" t="inlineStr">
        <is>
          <t>ECU/h frozen del cluster</t>
        </is>
      </c>
      <c r="C22" s="43">
        <f>IF(B9="PRE",Parameters!$B$12,IF(B9="PRO",Parameters!$C$12,Parameters!$E$12))</f>
        <v/>
      </c>
      <c r="D22" s="32" t="inlineStr">
        <is>
          <t>Tarifa por hora de los nodos frozen del entorno de la familia.</t>
        </is>
      </c>
      <c r="E22" s="32" t="inlineStr">
        <is>
          <t>Parameters. Factura Elastic Cloud.</t>
        </is>
      </c>
    </row>
    <row r="23">
      <c r="A23" t="n">
        <v>10</v>
      </c>
      <c r="B23" t="inlineStr">
        <is>
          <t>ECU/h frozen del cliente</t>
        </is>
      </c>
      <c r="C23" s="43">
        <f>C19*C22</f>
        <v/>
      </c>
      <c r="D23" s="32" t="inlineStr">
        <is>
          <t>Coste horario del frozen que le toca a este cliente.</t>
        </is>
      </c>
      <c r="E23" s="32" t="inlineStr">
        <is>
          <t>Cuota frozen x ECU/h frozen del cluster.</t>
        </is>
      </c>
    </row>
    <row r="24">
      <c r="A24" t="n">
        <v>11</v>
      </c>
      <c r="B24" t="inlineStr">
        <is>
          <t>Horas al mes</t>
        </is>
      </c>
      <c r="C24" s="44">
        <f>Parameters!$B$5</f>
        <v/>
      </c>
      <c r="D24" s="32" t="inlineStr">
        <is>
          <t>Horas del mes para pasar de ECU/hora a ECU/mes.</t>
        </is>
      </c>
      <c r="E24" s="32" t="inlineStr">
        <is>
          <t>Parameters, Horas al mes.</t>
        </is>
      </c>
    </row>
    <row r="25">
      <c r="A25" t="n">
        <v>12</v>
      </c>
      <c r="B25" t="inlineStr">
        <is>
          <t>ECU/mes capacidad</t>
        </is>
      </c>
      <c r="C25" s="45">
        <f>(C21+C23)*C24</f>
        <v/>
      </c>
      <c r="D25" s="32" t="inlineStr">
        <is>
          <t>Coste mensual de hot y frozen, sin snapshots ni recargo.</t>
        </is>
      </c>
      <c r="E25" s="32" t="inlineStr">
        <is>
          <t>(ECU/h hot del cliente + ECU/h frozen del cliente) x horas.</t>
        </is>
      </c>
    </row>
    <row r="26">
      <c r="A26" t="n">
        <v>13</v>
      </c>
      <c r="B26" t="inlineStr">
        <is>
          <t>Snapshots ECU/mes del cluster</t>
        </is>
      </c>
      <c r="C26" s="45">
        <f>IF(B9="PRE",Parameters!$B$23,IF(B9="PRO",Parameters!$C$23,Parameters!$D$23))</f>
        <v/>
      </c>
      <c r="D26" s="32" t="inlineStr">
        <is>
          <t>Factura mensual de snapshots de todo el entorno de la familia. Sample closed month.</t>
        </is>
      </c>
      <c r="E26" s="32" t="inlineStr">
        <is>
          <t>Parameters, snapshots ECU/mes.</t>
        </is>
      </c>
    </row>
    <row r="27">
      <c r="A27" t="n">
        <v>14</v>
      </c>
      <c r="B27" t="inlineStr">
        <is>
          <t>ECU/mes snapshots del cliente</t>
        </is>
      </c>
      <c r="C27" s="45">
        <f>IF(C18=0,C16*C26,C19*C26)</f>
        <v/>
      </c>
      <c r="D27" s="32" t="inlineStr">
        <is>
          <t>Parte de los snapshots que le toca. Si no hay frozen en el cluster, usa la cuota hot.</t>
        </is>
      </c>
      <c r="E27" s="32" t="inlineStr">
        <is>
          <t>Cuota frozen x snapshots. Si el frozen del cluster es 0, cuota hot x snapshots.</t>
        </is>
      </c>
    </row>
    <row r="28">
      <c r="A28" t="n">
        <v>15</v>
      </c>
      <c r="B28" t="inlineStr">
        <is>
          <t>ECU/mes Elastic</t>
        </is>
      </c>
      <c r="C28" s="45">
        <f>C25+C27</f>
        <v/>
      </c>
      <c r="D28" s="32" t="inlineStr">
        <is>
          <t>Coste Elastic del mes, sin recargo.</t>
        </is>
      </c>
      <c r="E28" s="32" t="inlineStr">
        <is>
          <t>ECU/mes capacidad + ECU/mes snapshots.</t>
        </is>
      </c>
    </row>
    <row r="29">
      <c r="A29" t="n">
        <v>16</v>
      </c>
      <c r="B29" t="inlineStr">
        <is>
          <t>Recargo</t>
        </is>
      </c>
      <c r="C29" s="42">
        <f>Parameters!$B$6</f>
        <v/>
      </c>
      <c r="D29" s="32" t="inlineStr">
        <is>
          <t>Recargo de plataforma, picos y administracion. Solo PRE y PRO.</t>
        </is>
      </c>
      <c r="E29" s="32" t="inlineStr">
        <is>
          <t>Parameters, recargo sobre PRE y PRO.</t>
        </is>
      </c>
    </row>
    <row r="30">
      <c r="A30" t="n">
        <v>17</v>
      </c>
      <c r="B30" t="inlineStr">
        <is>
          <t>ECU/mes recargo</t>
        </is>
      </c>
      <c r="C30" s="42">
        <f>IF(OR(B9="PRE",B9="PRO"),C28*C29,0)</f>
        <v/>
      </c>
      <c r="D30" s="32" t="inlineStr">
        <is>
          <t>ECU del recargo este mes.</t>
        </is>
      </c>
      <c r="E30" s="32" t="inlineStr">
        <is>
          <t>ECU/mes Elastic x recargo.</t>
        </is>
      </c>
    </row>
    <row r="31">
      <c r="A31" s="17" t="n">
        <v>18</v>
      </c>
      <c r="B31" s="17" t="inlineStr">
        <is>
          <t>ECU/mes a repercutir</t>
        </is>
      </c>
      <c r="C31" s="46">
        <f>C28+C30</f>
        <v/>
      </c>
      <c r="D31" s="41" t="inlineStr">
        <is>
          <t>Total a cobrar este mes.</t>
        </is>
      </c>
      <c r="E31" s="41" t="inlineStr">
        <is>
          <t>ECU/mes Elastic + ECU/mes recargo.</t>
        </is>
      </c>
    </row>
    <row r="32">
      <c r="A32" s="17" t="n">
        <v>19</v>
      </c>
      <c r="B32" s="17" t="inlineStr">
        <is>
          <t>ECU/ano</t>
        </is>
      </c>
      <c r="C32" s="46">
        <f>C31*12</f>
        <v/>
      </c>
      <c r="D32" s="41" t="inlineStr">
        <is>
          <t>Total a cobrar en 12 meses con los GB y la tarifa de hoy.</t>
        </is>
      </c>
      <c r="E32" s="41" t="inlineStr">
        <is>
          <t>ECU/mes a repercutir x 12.</t>
        </is>
      </c>
    </row>
  </sheetData>
  <mergeCells count="3">
    <mergeCell ref="A2:E2"/>
    <mergeCell ref="A6:G6"/>
    <mergeCell ref="A12:E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Lopez Garcia</dc:creator>
  <dcterms:created xmlns:dcterms="http://purl.org/dc/terms/" xmlns:xsi="http://www.w3.org/2001/XMLSchema-instance" xsi:type="dcterms:W3CDTF">2026-09-23T10:19:43Z</dcterms:created>
  <dcterms:modified xmlns:dcterms="http://purl.org/dc/terms/" xmlns:xsi="http://www.w3.org/2001/XMLSchema-instance" xsi:type="dcterms:W3CDTF">2026-09-24T05:19:31Z</dcterms:modified>
  <cp:lastModifiedBy>Daniel Lopez Garcia</cp:lastModifiedBy>
</cp:coreProperties>
</file>