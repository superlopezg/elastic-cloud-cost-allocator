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ers" sheetId="2" state="visible" r:id="rId2"/>
    <sheet xmlns:r="http://schemas.openxmlformats.org/officeDocument/2006/relationships" name="Environments" sheetId="3" state="visible" r:id="rId3"/>
    <sheet xmlns:r="http://schemas.openxmlformats.org/officeDocument/2006/relationships" name="Global" sheetId="4" state="visible" r:id="rId4"/>
    <sheet xmlns:r="http://schemas.openxmlformats.org/officeDocument/2006/relationships" name="Measurement" sheetId="5" state="visible" r:id="rId5"/>
    <sheet xmlns:r="http://schemas.openxmlformats.org/officeDocument/2006/relationships" name="Without Admin Cost" sheetId="6" state="visible" r:id="rId6"/>
    <sheet xmlns:r="http://schemas.openxmlformats.org/officeDocument/2006/relationships" name="With Admin Cost" sheetId="7" state="visible" r:id="rId7"/>
    <sheet xmlns:r="http://schemas.openxmlformats.org/officeDocument/2006/relationships" name="Any Fami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6B66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F0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DF"/>
      </left>
      <right style="thin">
        <color rgb="00D9E2DF"/>
      </right>
      <top style="thin">
        <color rgb="00D9E2DF"/>
      </top>
      <bottom style="thin">
        <color rgb="00D9E2D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Elastic Cost Allocator — Cloud &amp; on-prem · configurable tiers &amp; environments</t>
        </is>
      </c>
    </row>
    <row r="3">
      <c r="A3" t="inlineStr">
        <is>
          <t>1. Tiers: enable only the storage tiers you use (hot-only, +warm/cold, +frozen). Sample ships with hot+frozen.</t>
        </is>
      </c>
    </row>
    <row r="4">
      <c r="A4" t="inlineStr">
        <is>
          <t>2. Global: set Deployment (cloud|onprem), cost unit (ECU/EUR/USD), hours, annual commit/budget, margin, snapshot alloc tier.</t>
        </is>
      </c>
    </row>
    <row r="5">
      <c r="A5" t="inlineStr">
        <is>
          <t>3. Environments: add/rename codes (DEV, INT, UAT, PROD, MONITORING, …). Set Apply surcharge and per-tier rates.</t>
        </is>
      </c>
    </row>
    <row r="6">
      <c r="A6" t="inlineStr">
        <is>
          <t>4. Measurement: one row per index family. Fill GB columns for enabled tiers. Env must match Environments!Code.</t>
        </is>
      </c>
    </row>
    <row r="7">
      <c r="A7" t="inlineStr">
        <is>
          <t>5. Read Without / With Admin Cost and Any Family. HTML twin: web/index.html</t>
        </is>
      </c>
    </row>
    <row r="9">
      <c r="A9" t="inlineStr">
        <is>
          <t>On-prem: set Deployment=onprem, unit=EUR (or your currency), zero Cloud-only platform rates if unused.</t>
        </is>
      </c>
    </row>
    <row r="10">
      <c r="A10" t="inlineStr">
        <is>
          <t>https://github.com/superlopezg/elastic-cloud-cost-allocator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Storage tiers — set Enabled=TRUE only for tiers present in your cluster(s).</t>
        </is>
      </c>
    </row>
    <row r="3">
      <c r="A3" s="2" t="inlineStr">
        <is>
          <t>Code</t>
        </is>
      </c>
      <c r="B3" s="2" t="inlineStr">
        <is>
          <t>Label</t>
        </is>
      </c>
      <c r="C3" s="2" t="inlineStr">
        <is>
          <t>Enabled</t>
        </is>
      </c>
    </row>
    <row r="4">
      <c r="A4" s="3" t="inlineStr">
        <is>
          <t>hot</t>
        </is>
      </c>
      <c r="B4" s="3" t="inlineStr">
        <is>
          <t>Hot</t>
        </is>
      </c>
      <c r="C4" s="3" t="b">
        <v>1</v>
      </c>
    </row>
    <row r="5">
      <c r="A5" s="3" t="inlineStr">
        <is>
          <t>warm</t>
        </is>
      </c>
      <c r="B5" s="3" t="inlineStr">
        <is>
          <t>Warm</t>
        </is>
      </c>
      <c r="C5" s="3" t="b">
        <v>0</v>
      </c>
    </row>
    <row r="6">
      <c r="A6" s="3" t="inlineStr">
        <is>
          <t>cold</t>
        </is>
      </c>
      <c r="B6" s="3" t="inlineStr">
        <is>
          <t>Cold</t>
        </is>
      </c>
      <c r="C6" s="3" t="b">
        <v>0</v>
      </c>
    </row>
    <row r="7">
      <c r="A7" s="3" t="inlineStr">
        <is>
          <t>frozen</t>
        </is>
      </c>
      <c r="B7" s="3" t="inlineStr">
        <is>
          <t>Frozen</t>
        </is>
      </c>
      <c r="C7" s="3" t="b">
        <v>1</v>
      </c>
    </row>
    <row r="9">
      <c r="A9" t="inlineStr">
        <is>
          <t>Tip: hot-only → enable Hot only. ILM with warm/cold → enable those and enter GB + rates. Frozen searchables → enable Frozen.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Environments — configure as many clusters as you need. Rates for disabled tiers can stay 0.</t>
        </is>
      </c>
    </row>
    <row r="2">
      <c r="A2" t="inlineStr">
        <is>
          <t>Yellow = editable. Measurement.env must match Code. Surcharge=TRUE → commit/budget uplift; FALSE → dedicated.</t>
        </is>
      </c>
    </row>
    <row r="4">
      <c r="A4" s="2" t="inlineStr">
        <is>
          <t>Code</t>
        </is>
      </c>
      <c r="B4" s="2" t="inlineStr">
        <is>
          <t>Label</t>
        </is>
      </c>
      <c r="C4" s="2" t="inlineStr">
        <is>
          <t>Apply surcharge</t>
        </is>
      </c>
      <c r="D4" s="2" t="inlineStr">
        <is>
          <t>Hot /h</t>
        </is>
      </c>
      <c r="E4" s="2" t="inlineStr">
        <is>
          <t>Warm /h</t>
        </is>
      </c>
      <c r="F4" s="2" t="inlineStr">
        <is>
          <t>Cold /h</t>
        </is>
      </c>
      <c r="G4" s="2" t="inlineStr">
        <is>
          <t>Frozen /h</t>
        </is>
      </c>
      <c r="H4" s="2" t="inlineStr">
        <is>
          <t>Kibana /h</t>
        </is>
      </c>
      <c r="I4" s="2" t="inlineStr">
        <is>
          <t>Integrations /h</t>
        </is>
      </c>
      <c r="J4" s="2" t="inlineStr">
        <is>
          <t>Tiebreaker /h</t>
        </is>
      </c>
      <c r="K4" s="2" t="inlineStr">
        <is>
          <t>Snapshots /month</t>
        </is>
      </c>
    </row>
    <row r="5">
      <c r="A5" s="3" t="inlineStr">
        <is>
          <t>PRE</t>
        </is>
      </c>
      <c r="B5" s="3" t="inlineStr">
        <is>
          <t>Pre-production (sample)</t>
        </is>
      </c>
      <c r="C5" s="3" t="b">
        <v>1</v>
      </c>
      <c r="D5" s="3" t="n">
        <v>3.5</v>
      </c>
      <c r="E5" s="3" t="n">
        <v>0</v>
      </c>
      <c r="F5" s="3" t="n">
        <v>0</v>
      </c>
      <c r="G5" s="3" t="n">
        <v>0.35</v>
      </c>
      <c r="H5" s="3" t="n">
        <v>0.28</v>
      </c>
      <c r="I5" s="3" t="n">
        <v>0.14</v>
      </c>
      <c r="J5" s="3" t="n">
        <v>0</v>
      </c>
      <c r="K5" s="3" t="n">
        <v>200</v>
      </c>
    </row>
    <row r="6">
      <c r="A6" s="3" t="inlineStr">
        <is>
          <t>PRO</t>
        </is>
      </c>
      <c r="B6" s="3" t="inlineStr">
        <is>
          <t>Production (sample)</t>
        </is>
      </c>
      <c r="C6" s="3" t="b">
        <v>1</v>
      </c>
      <c r="D6" s="3" t="n">
        <v>5</v>
      </c>
      <c r="E6" s="3" t="n">
        <v>0</v>
      </c>
      <c r="F6" s="3" t="n">
        <v>0</v>
      </c>
      <c r="G6" s="3" t="n">
        <v>1</v>
      </c>
      <c r="H6" s="3" t="n">
        <v>0.5600000000000001</v>
      </c>
      <c r="I6" s="3" t="n">
        <v>0.14</v>
      </c>
      <c r="J6" s="3" t="n">
        <v>0.07000000000000001</v>
      </c>
      <c r="K6" s="3" t="n">
        <v>500</v>
      </c>
    </row>
    <row r="7">
      <c r="A7" s="3" t="inlineStr">
        <is>
          <t>MON</t>
        </is>
      </c>
      <c r="B7" s="3" t="inlineStr">
        <is>
          <t>Monitoring dedicated (sample)</t>
        </is>
      </c>
      <c r="C7" s="3" t="b">
        <v>0</v>
      </c>
      <c r="D7" s="3" t="n">
        <v>0.5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1" t="inlineStr">
        <is>
          <t>Global contract / budget parameters</t>
        </is>
      </c>
    </row>
    <row r="3">
      <c r="A3" t="inlineStr">
        <is>
          <t>Deployment (cloud | onprem)</t>
        </is>
      </c>
      <c r="B3" s="4" t="inlineStr">
        <is>
          <t>cloud</t>
        </is>
      </c>
    </row>
    <row r="4">
      <c r="A4" t="inlineStr">
        <is>
          <t>Cost unit (ECU, EUR, USD, …)</t>
        </is>
      </c>
      <c r="B4" s="4" t="inlineStr">
        <is>
          <t>ECU</t>
        </is>
      </c>
    </row>
    <row r="5">
      <c r="A5" t="inlineStr">
        <is>
          <t>Hours / month</t>
        </is>
      </c>
      <c r="B5" s="4" t="n">
        <v>730</v>
      </c>
    </row>
    <row r="6">
      <c r="A6" t="inlineStr">
        <is>
          <t>Annual commit / budget</t>
        </is>
      </c>
      <c r="B6" s="4" t="n">
        <v>100000</v>
      </c>
    </row>
    <row r="7">
      <c r="A7" t="inlineStr">
        <is>
          <t>Margin on commit</t>
        </is>
      </c>
      <c r="B7" s="4" t="n">
        <v>0.03</v>
      </c>
    </row>
    <row r="8">
      <c r="A8" t="inlineStr">
        <is>
          <t>Other cost / year</t>
        </is>
      </c>
      <c r="B8" s="4" t="n">
        <v>500</v>
      </c>
    </row>
    <row r="9">
      <c r="A9" t="inlineStr">
        <is>
          <t>Snapshot alloc tier (auto | hot | warm | cold | frozen)</t>
        </is>
      </c>
      <c r="B9" s="4" t="inlineStr">
        <is>
          <t>auto</t>
        </is>
      </c>
    </row>
    <row r="11">
      <c r="A11" t="inlineStr">
        <is>
          <t>Hours / year</t>
        </is>
      </c>
      <c r="B11">
        <f>B5*12</f>
        <v/>
      </c>
    </row>
    <row r="12">
      <c r="A12" t="inlineStr">
        <is>
          <t>Annual target</t>
        </is>
      </c>
      <c r="B12">
        <f>B6*(1+B7)</f>
        <v/>
      </c>
    </row>
    <row r="14">
      <c r="A14" t="inlineStr">
        <is>
          <t>Surchargeable base / year (Apply surcharge = TRUE)</t>
        </is>
      </c>
      <c r="B14">
        <f>SUMPRODUCT((Environments!C5:C50=TRUE)*(Environments!D5:D50+Environments!E5:E50+Environments!F5:F50+Environments!G5:G50)*$B$11)+SUMPRODUCT((Environments!C5:C50=TRUE)*Environments!K5:K50*12)</f>
        <v/>
      </c>
    </row>
    <row r="15">
      <c r="A15" t="inlineStr">
        <is>
          <t>Dedicated envs / year (Apply surcharge = FALSE)</t>
        </is>
      </c>
      <c r="B15">
        <f>SUMPRODUCT((Environments!C5:C50=FALSE)*(Environments!D5:D50+Environments!E5:E50+Environments!F5:F50+Environments!G5:G50)*$B$11)+SUMPRODUCT((Environments!C5:C50=FALSE)*Environments!K5:K50*12)</f>
        <v/>
      </c>
    </row>
    <row r="16">
      <c r="A16" t="inlineStr">
        <is>
          <t>Platform annual (Kibana+Integrations+Tiebreaker on surchargeable envs)</t>
        </is>
      </c>
      <c r="B16">
        <f>SUMPRODUCT((Environments!C5:C50=TRUE)*(Environments!H5:H50+Environments!I5:I50+Environments!J5:J50)*$B$11)</f>
        <v/>
      </c>
    </row>
    <row r="17">
      <c r="A17" t="inlineStr">
        <is>
          <t>Computed surcharge</t>
        </is>
      </c>
      <c r="B17">
        <f>IF(B14=0,0,(B12-B15)/B14-1)</f>
        <v/>
      </c>
    </row>
    <row r="18">
      <c r="A18" t="inlineStr">
        <is>
          <t>Estimated consumption</t>
        </is>
      </c>
      <c r="B18">
        <f>B14+B15+B16+B8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Measurement — GB columns for all tiers. Leave warm/cold at 0 if those tiers are disabled.</t>
        </is>
      </c>
    </row>
    <row r="2">
      <c r="A2" s="2" t="inlineStr">
        <is>
          <t>Family</t>
        </is>
      </c>
      <c r="B2" s="2" t="inlineStr">
        <is>
          <t>Env</t>
        </is>
      </c>
      <c r="C2" s="2" t="inlineStr">
        <is>
          <t>What</t>
        </is>
      </c>
      <c r="D2" s="2" t="inlineStr">
        <is>
          <t>Events/s 15m</t>
        </is>
      </c>
      <c r="E2" s="2" t="inlineStr">
        <is>
          <t>KB/doc</t>
        </is>
      </c>
      <c r="F2" s="2" t="inlineStr">
        <is>
          <t>Docs</t>
        </is>
      </c>
      <c r="G2" s="2" t="inlineStr">
        <is>
          <t>GB hot</t>
        </is>
      </c>
      <c r="H2" s="2" t="inlineStr">
        <is>
          <t>GB warm</t>
        </is>
      </c>
      <c r="I2" s="2" t="inlineStr">
        <is>
          <t>GB cold</t>
        </is>
      </c>
      <c r="J2" s="2" t="inlineStr">
        <is>
          <t>GB frozen</t>
        </is>
      </c>
      <c r="K2" s="2" t="inlineStr">
        <is>
          <t>Indices</t>
        </is>
      </c>
      <c r="L2" s="2" t="inlineStr">
        <is>
          <t>Events/s life</t>
        </is>
      </c>
      <c r="M2" s="2" t="inlineStr">
        <is>
          <t>Age days</t>
        </is>
      </c>
    </row>
    <row r="3">
      <c r="A3" s="4" t="inlineStr">
        <is>
          <t>pre-k8s-cloud-applogs-tst</t>
        </is>
      </c>
      <c r="B3" s="4" t="inlineStr">
        <is>
          <t>PRE</t>
        </is>
      </c>
      <c r="C3" s="4" t="inlineStr">
        <is>
          <t>logs de aplicacion Kubernetes, Azure, tst. Patron pre-k8s-azure-applogs-tst</t>
        </is>
      </c>
      <c r="D3" t="n">
        <v>3514.4</v>
      </c>
      <c r="E3" t="n">
        <v>1.47</v>
      </c>
      <c r="F3" t="n">
        <v>1865600672</v>
      </c>
      <c r="G3" s="4" t="n">
        <v>99.542</v>
      </c>
      <c r="H3" s="4" t="n">
        <v>0</v>
      </c>
      <c r="I3" s="4" t="n">
        <v>0</v>
      </c>
      <c r="J3" s="4" t="n">
        <v>1304.55</v>
      </c>
      <c r="K3" t="n">
        <v>1</v>
      </c>
      <c r="L3" t="n">
        <v>1318.5</v>
      </c>
      <c r="M3" t="n">
        <v>25.74</v>
      </c>
    </row>
    <row r="4">
      <c r="A4" s="4" t="inlineStr">
        <is>
          <t>pre-k8s-onprem-applogs-tst</t>
        </is>
      </c>
      <c r="B4" s="4" t="inlineStr">
        <is>
          <t>PRE</t>
        </is>
      </c>
      <c r="C4" s="4" t="inlineStr">
        <is>
          <t>logs de aplicacion Kubernetes, on-prem, tst. Patron pre-k8s-onprem-applogs-tst</t>
        </is>
      </c>
      <c r="D4" t="n">
        <v>3998.4</v>
      </c>
      <c r="E4" t="n">
        <v>0.346</v>
      </c>
      <c r="F4" t="n">
        <v>955805221</v>
      </c>
      <c r="G4" s="4" t="n">
        <v>16.773</v>
      </c>
      <c r="H4" s="4" t="n">
        <v>0</v>
      </c>
      <c r="I4" s="4" t="n">
        <v>0</v>
      </c>
      <c r="J4" s="4" t="n">
        <v>75.90000000000001</v>
      </c>
      <c r="K4" t="n">
        <v>88</v>
      </c>
      <c r="L4" t="n">
        <v>731</v>
      </c>
      <c r="M4" t="n">
        <v>32.12</v>
      </c>
    </row>
    <row r="5">
      <c r="A5" s="4" t="inlineStr">
        <is>
          <t>pre-k8s-cloud-applogs</t>
        </is>
      </c>
      <c r="B5" s="4" t="inlineStr">
        <is>
          <t>PRE</t>
        </is>
      </c>
      <c r="C5" s="4" t="inlineStr">
        <is>
          <t>logs de aplicacion Kubernetes, Azure. Patron pre-k8s-azure-applogs</t>
        </is>
      </c>
      <c r="D5" t="n">
        <v>7672</v>
      </c>
      <c r="E5" t="n">
        <v>3.968</v>
      </c>
      <c r="F5" t="n">
        <v>1098204509</v>
      </c>
      <c r="G5" s="4" t="n">
        <v>90.31399999999999</v>
      </c>
      <c r="H5" s="4" t="n">
        <v>0</v>
      </c>
      <c r="I5" s="4" t="n">
        <v>0</v>
      </c>
      <c r="J5" s="4" t="n">
        <v>1151.7</v>
      </c>
      <c r="K5" t="n">
        <v>68</v>
      </c>
      <c r="L5" t="n">
        <v>420.5</v>
      </c>
      <c r="M5" t="n">
        <v>331.85</v>
      </c>
    </row>
    <row r="6">
      <c r="A6" s="4" t="inlineStr">
        <is>
          <t>pre-k8s-onprem-applogs-dev</t>
        </is>
      </c>
      <c r="B6" s="4" t="inlineStr">
        <is>
          <t>PRE</t>
        </is>
      </c>
      <c r="C6" s="4" t="inlineStr">
        <is>
          <t>logs de aplicacion Kubernetes, on-prem, dev. Patron pre-k8s-onprem-applogs-dev</t>
        </is>
      </c>
      <c r="D6" t="n">
        <v>1573.6</v>
      </c>
      <c r="E6" t="n">
        <v>0.282</v>
      </c>
      <c r="F6" t="n">
        <v>28209859</v>
      </c>
      <c r="G6" s="4" t="n">
        <v>71.404</v>
      </c>
      <c r="H6" s="4" t="n">
        <v>0</v>
      </c>
      <c r="I6" s="4" t="n">
        <v>0</v>
      </c>
      <c r="J6" s="4" t="n">
        <v>797.7</v>
      </c>
      <c r="K6" t="n">
        <v>31</v>
      </c>
      <c r="L6" t="n">
        <v>2115.5</v>
      </c>
      <c r="M6" t="n">
        <v>72.22</v>
      </c>
    </row>
    <row r="7">
      <c r="A7" s="4" t="inlineStr">
        <is>
          <t>pre-k8s-onprem-applogs</t>
        </is>
      </c>
      <c r="B7" s="4" t="inlineStr">
        <is>
          <t>PRE</t>
        </is>
      </c>
      <c r="C7" s="4" t="inlineStr">
        <is>
          <t>logs de aplicacion Kubernetes, on-prem. Patron pre-k8s-onprem-applogs</t>
        </is>
      </c>
      <c r="D7" t="n">
        <v>5446.4</v>
      </c>
      <c r="E7" t="n">
        <v>0.499</v>
      </c>
      <c r="F7" t="n">
        <v>1545602272</v>
      </c>
      <c r="G7" s="4" t="n">
        <v>68.69199999999999</v>
      </c>
      <c r="H7" s="4" t="n">
        <v>0</v>
      </c>
      <c r="I7" s="4" t="n">
        <v>0</v>
      </c>
      <c r="J7" s="4" t="n">
        <v>927</v>
      </c>
      <c r="K7" t="n">
        <v>2</v>
      </c>
      <c r="L7" t="n">
        <v>4361</v>
      </c>
      <c r="M7" t="n">
        <v>306.24</v>
      </c>
    </row>
    <row r="8">
      <c r="A8" s="4" t="inlineStr">
        <is>
          <t>pre-k8s-cloud-applogs-dev</t>
        </is>
      </c>
      <c r="B8" s="4" t="inlineStr">
        <is>
          <t>PRE</t>
        </is>
      </c>
      <c r="C8" s="4" t="inlineStr">
        <is>
          <t>logs de aplicacion Kubernetes, Azure, dev. Patron pre-k8s-azure-applogs-dev</t>
        </is>
      </c>
      <c r="D8" t="n">
        <v>2785.6</v>
      </c>
      <c r="E8" t="n">
        <v>1.781</v>
      </c>
      <c r="F8" t="n">
        <v>1271603642</v>
      </c>
      <c r="G8" s="4" t="n">
        <v>105.037</v>
      </c>
      <c r="H8" s="4" t="n">
        <v>0</v>
      </c>
      <c r="I8" s="4" t="n">
        <v>0</v>
      </c>
      <c r="J8" s="4" t="n">
        <v>1426.8</v>
      </c>
      <c r="K8" t="n">
        <v>76</v>
      </c>
      <c r="L8" t="n">
        <v>578</v>
      </c>
      <c r="M8" t="n">
        <v>75.17</v>
      </c>
    </row>
    <row r="9">
      <c r="A9" s="4" t="inlineStr">
        <is>
          <t>.ds-logs-pre-ds-core-policy</t>
        </is>
      </c>
      <c r="B9" s="4" t="inlineStr">
        <is>
          <t>PRE</t>
        </is>
      </c>
      <c r="C9" s="4" t="inlineStr">
        <is>
          <t>Data stream, policy platform. Patron .ds-logs-pre-ds-core-policy platform</t>
        </is>
      </c>
      <c r="D9" t="n">
        <v>2586.4</v>
      </c>
      <c r="E9" t="n">
        <v>2.685</v>
      </c>
      <c r="F9" t="n">
        <v>1004004980</v>
      </c>
      <c r="G9" s="4" t="n">
        <v>53.802</v>
      </c>
      <c r="H9" s="4" t="n">
        <v>0</v>
      </c>
      <c r="I9" s="4" t="n">
        <v>0</v>
      </c>
      <c r="J9" s="4" t="n">
        <v>1289.7</v>
      </c>
      <c r="K9" t="n">
        <v>28</v>
      </c>
      <c r="L9" t="n">
        <v>3184</v>
      </c>
      <c r="M9" t="n">
        <v>378.09</v>
      </c>
    </row>
    <row r="10">
      <c r="A10" s="4" t="inlineStr">
        <is>
          <t>pre-app-masterdata</t>
        </is>
      </c>
      <c r="B10" s="4" t="inlineStr">
        <is>
          <t>PRE</t>
        </is>
      </c>
      <c r="C10" s="4" t="inlineStr">
        <is>
          <t>MDM. Patron pre-app-masterdata</t>
        </is>
      </c>
      <c r="D10" t="n">
        <v>563.2</v>
      </c>
      <c r="E10" t="n">
        <v>3.558</v>
      </c>
      <c r="F10" t="n">
        <v>885205574</v>
      </c>
      <c r="G10" s="4" t="n">
        <v>81.339</v>
      </c>
      <c r="H10" s="4" t="n">
        <v>0</v>
      </c>
      <c r="I10" s="4" t="n">
        <v>0</v>
      </c>
      <c r="J10" s="4" t="n">
        <v>1173</v>
      </c>
      <c r="K10" t="n">
        <v>53</v>
      </c>
      <c r="L10" t="n">
        <v>2034</v>
      </c>
      <c r="M10" t="n">
        <v>22.91</v>
      </c>
    </row>
    <row r="11">
      <c r="A11" s="4" t="inlineStr">
        <is>
          <t>pre-app-appserver</t>
        </is>
      </c>
      <c r="B11" s="4" t="inlineStr">
        <is>
          <t>PRE</t>
        </is>
      </c>
      <c r="C11" s="4" t="inlineStr">
        <is>
          <t>Tomcat. Patron pre-app-appserver</t>
        </is>
      </c>
      <c r="D11" t="n">
        <v>2704.8</v>
      </c>
      <c r="E11" t="n">
        <v>3.08</v>
      </c>
      <c r="F11" t="n">
        <v>12409938</v>
      </c>
      <c r="G11" s="4" t="n">
        <v>71.62</v>
      </c>
      <c r="H11" s="4" t="n">
        <v>0</v>
      </c>
      <c r="I11" s="4" t="n">
        <v>0</v>
      </c>
      <c r="J11" s="4" t="n">
        <v>750.15</v>
      </c>
      <c r="K11" t="n">
        <v>19</v>
      </c>
      <c r="L11" t="n">
        <v>1663</v>
      </c>
      <c r="M11" t="n">
        <v>129.84</v>
      </c>
    </row>
    <row r="12">
      <c r="A12" s="4" t="inlineStr">
        <is>
          <t>pre-db-oltp-sessions</t>
        </is>
      </c>
      <c r="B12" s="4" t="inlineStr">
        <is>
          <t>PRE</t>
        </is>
      </c>
      <c r="C12" s="4" t="inlineStr">
        <is>
          <t>OLTP database. Patron pre-bbdd-OLTP database-deltasesiones</t>
        </is>
      </c>
      <c r="D12" t="n">
        <v>6570.4</v>
      </c>
      <c r="E12" t="n">
        <v>3.15</v>
      </c>
      <c r="F12" t="n">
        <v>1702201489</v>
      </c>
      <c r="G12" s="4" t="n">
        <v>77.884</v>
      </c>
      <c r="H12" s="4" t="n">
        <v>0</v>
      </c>
      <c r="I12" s="4" t="n">
        <v>0</v>
      </c>
      <c r="J12" s="4" t="n">
        <v>28.95</v>
      </c>
      <c r="K12" t="n">
        <v>27</v>
      </c>
      <c r="L12" t="n">
        <v>4339</v>
      </c>
      <c r="M12" t="n">
        <v>103.9</v>
      </c>
    </row>
    <row r="13">
      <c r="A13" s="4" t="inlineStr">
        <is>
          <t>pre-app-stats-engine</t>
        </is>
      </c>
      <c r="B13" s="4" t="inlineStr">
        <is>
          <t>PRE</t>
        </is>
      </c>
      <c r="C13" s="4" t="inlineStr">
        <is>
          <t>stats engine, estadisticas. Patron pre-app-stats engine-estadisticas</t>
        </is>
      </c>
      <c r="D13" t="n">
        <v>1350.4</v>
      </c>
      <c r="E13" t="n">
        <v>0.365</v>
      </c>
      <c r="F13" t="n">
        <v>438807806</v>
      </c>
      <c r="G13" s="4" t="n">
        <v>27.512</v>
      </c>
      <c r="H13" s="4" t="n">
        <v>0</v>
      </c>
      <c r="I13" s="4" t="n">
        <v>0</v>
      </c>
      <c r="J13" s="4" t="n">
        <v>887.7</v>
      </c>
      <c r="K13" t="n">
        <v>14</v>
      </c>
      <c r="L13" t="n">
        <v>1830</v>
      </c>
      <c r="M13" t="n">
        <v>254.33</v>
      </c>
    </row>
    <row r="14">
      <c r="A14" s="4" t="inlineStr">
        <is>
          <t>pre-app-partners</t>
        </is>
      </c>
      <c r="B14" s="4" t="inlineStr">
        <is>
          <t>PRE</t>
        </is>
      </c>
      <c r="C14" s="4" t="inlineStr">
        <is>
          <t>partners. Patron pre-app-partners</t>
        </is>
      </c>
      <c r="D14" t="n">
        <v>6998.4</v>
      </c>
      <c r="E14" t="n">
        <v>3.809</v>
      </c>
      <c r="F14" t="n">
        <v>652406738</v>
      </c>
      <c r="G14" s="4" t="n">
        <v>115.32</v>
      </c>
      <c r="H14" s="4" t="n">
        <v>0</v>
      </c>
      <c r="I14" s="4" t="n">
        <v>0</v>
      </c>
      <c r="J14" s="4" t="n">
        <v>65.25</v>
      </c>
      <c r="K14" t="n">
        <v>16</v>
      </c>
      <c r="L14" t="n">
        <v>90</v>
      </c>
      <c r="M14" t="n">
        <v>310.54</v>
      </c>
    </row>
    <row r="15">
      <c r="A15" s="4" t="inlineStr">
        <is>
          <t>pre-k8s-cloud-applogs-30d</t>
        </is>
      </c>
      <c r="B15" s="4" t="inlineStr">
        <is>
          <t>PRE</t>
        </is>
      </c>
      <c r="C15" s="4" t="inlineStr">
        <is>
          <t>logs de aplicacion Kubernetes, Azure. Patron pre-k8s-azure-applogs-30</t>
        </is>
      </c>
      <c r="D15" t="n">
        <v>292.8</v>
      </c>
      <c r="E15" t="n">
        <v>0.71</v>
      </c>
      <c r="F15" t="n">
        <v>782606087</v>
      </c>
      <c r="G15" s="4" t="n">
        <v>28.58</v>
      </c>
      <c r="H15" s="4" t="n">
        <v>0</v>
      </c>
      <c r="I15" s="4" t="n">
        <v>0</v>
      </c>
      <c r="J15" s="4" t="n">
        <v>1323.3</v>
      </c>
      <c r="K15" t="n">
        <v>14</v>
      </c>
      <c r="L15" t="n">
        <v>791</v>
      </c>
      <c r="M15" t="n">
        <v>302.44</v>
      </c>
    </row>
    <row r="16">
      <c r="A16" s="4" t="inlineStr">
        <is>
          <t>.ds-logs-logstash-pre</t>
        </is>
      </c>
      <c r="B16" s="4" t="inlineStr">
        <is>
          <t>PRE</t>
        </is>
      </c>
      <c r="C16" s="4" t="inlineStr">
        <is>
          <t>Data stream, Logstash. Patron .ds-logs-logstash-pre</t>
        </is>
      </c>
      <c r="D16" t="n">
        <v>6941.6</v>
      </c>
      <c r="E16" t="n">
        <v>0.947</v>
      </c>
      <c r="F16" t="n">
        <v>1178604107</v>
      </c>
      <c r="G16" s="4" t="n">
        <v>36.055</v>
      </c>
      <c r="H16" s="4" t="n">
        <v>0</v>
      </c>
      <c r="I16" s="4" t="n">
        <v>0</v>
      </c>
      <c r="J16" s="4" t="n">
        <v>1017.6</v>
      </c>
      <c r="K16" t="n">
        <v>27</v>
      </c>
      <c r="L16" t="n">
        <v>2787.5</v>
      </c>
      <c r="M16" t="n">
        <v>122.85</v>
      </c>
    </row>
    <row r="17">
      <c r="A17" s="4" t="inlineStr">
        <is>
          <t>pre-db-oltp</t>
        </is>
      </c>
      <c r="B17" s="4" t="inlineStr">
        <is>
          <t>PRE</t>
        </is>
      </c>
      <c r="C17" s="4" t="inlineStr">
        <is>
          <t>OLTP database. Patron pre-bbdd-OLTP database</t>
        </is>
      </c>
      <c r="D17" t="n">
        <v>1837.6</v>
      </c>
      <c r="E17" t="n">
        <v>2.034</v>
      </c>
      <c r="F17" t="n">
        <v>1902800486</v>
      </c>
      <c r="G17" s="4" t="n">
        <v>66.892</v>
      </c>
      <c r="H17" s="4" t="n">
        <v>0</v>
      </c>
      <c r="I17" s="4" t="n">
        <v>0</v>
      </c>
      <c r="J17" s="4" t="n">
        <v>1387.65</v>
      </c>
      <c r="K17" t="n">
        <v>58</v>
      </c>
      <c r="L17" t="n">
        <v>1553</v>
      </c>
      <c r="M17" t="n">
        <v>4.23</v>
      </c>
    </row>
    <row r="18">
      <c r="A18" s="4" t="inlineStr">
        <is>
          <t>pre-app-public-web</t>
        </is>
      </c>
      <c r="B18" s="4" t="inlineStr">
        <is>
          <t>PRE</t>
        </is>
      </c>
      <c r="C18" s="4" t="inlineStr">
        <is>
          <t>web publica. Patron pre-app-public-web</t>
        </is>
      </c>
      <c r="D18" t="n">
        <v>7649.6</v>
      </c>
      <c r="E18" t="n">
        <v>3.52</v>
      </c>
      <c r="F18" t="n">
        <v>1716601417</v>
      </c>
      <c r="G18" s="4" t="n">
        <v>118.92</v>
      </c>
      <c r="H18" s="4" t="n">
        <v>0</v>
      </c>
      <c r="I18" s="4" t="n">
        <v>0</v>
      </c>
      <c r="J18" s="4" t="n">
        <v>1180.8</v>
      </c>
      <c r="K18" t="n">
        <v>60</v>
      </c>
      <c r="L18" t="n">
        <v>1307</v>
      </c>
      <c r="M18" t="n">
        <v>278.15</v>
      </c>
    </row>
    <row r="19">
      <c r="A19" s="4" t="inlineStr">
        <is>
          <t>.ds-logs-pre-apps-ret7</t>
        </is>
      </c>
      <c r="B19" s="4" t="inlineStr">
        <is>
          <t>PRE</t>
        </is>
      </c>
      <c r="C19" s="4" t="inlineStr">
        <is>
          <t>Data stream. Patron .ds-logs-pre-apps-ret7</t>
        </is>
      </c>
      <c r="D19" t="n">
        <v>758.4</v>
      </c>
      <c r="E19" t="n">
        <v>1.378</v>
      </c>
      <c r="F19" t="n">
        <v>517807411</v>
      </c>
      <c r="G19" s="4" t="n">
        <v>99.70999999999999</v>
      </c>
      <c r="H19" s="4" t="n">
        <v>0</v>
      </c>
      <c r="I19" s="4" t="n">
        <v>0</v>
      </c>
      <c r="J19" s="4" t="n">
        <v>971.4</v>
      </c>
      <c r="K19" t="n">
        <v>30</v>
      </c>
      <c r="L19" t="n">
        <v>3028.5</v>
      </c>
      <c r="M19" t="n">
        <v>76.17</v>
      </c>
    </row>
    <row r="20">
      <c r="A20" s="4" t="inlineStr">
        <is>
          <t>logstash</t>
        </is>
      </c>
      <c r="B20" s="4" t="inlineStr">
        <is>
          <t>PRE</t>
        </is>
      </c>
      <c r="C20" s="4" t="inlineStr">
        <is>
          <t>Logstash. Patron logstash</t>
        </is>
      </c>
      <c r="D20" t="n">
        <v>1096.8</v>
      </c>
      <c r="E20" t="n">
        <v>0.751</v>
      </c>
      <c r="F20" t="n">
        <v>691806541</v>
      </c>
      <c r="G20" s="4" t="n">
        <v>15.273</v>
      </c>
      <c r="H20" s="4" t="n">
        <v>0</v>
      </c>
      <c r="I20" s="4" t="n">
        <v>0</v>
      </c>
      <c r="J20" s="4" t="n">
        <v>1264.95</v>
      </c>
      <c r="K20" t="n">
        <v>8</v>
      </c>
      <c r="L20" t="n">
        <v>1697.5</v>
      </c>
      <c r="M20" t="n">
        <v>251.13</v>
      </c>
    </row>
    <row r="21">
      <c r="A21" s="4" t="inlineStr">
        <is>
          <t>pre-network-dns</t>
        </is>
      </c>
      <c r="B21" s="4" t="inlineStr">
        <is>
          <t>PRE</t>
        </is>
      </c>
      <c r="C21" s="4" t="inlineStr">
        <is>
          <t>Familia de indices. Patron pre-network-dns</t>
        </is>
      </c>
      <c r="D21" t="n">
        <v>182.4</v>
      </c>
      <c r="E21" t="n">
        <v>0.194</v>
      </c>
      <c r="F21" t="n">
        <v>347808261</v>
      </c>
      <c r="G21" s="4" t="n">
        <v>45.258</v>
      </c>
      <c r="H21" s="4" t="n">
        <v>0</v>
      </c>
      <c r="I21" s="4" t="n">
        <v>0</v>
      </c>
      <c r="J21" s="4" t="n">
        <v>851.85</v>
      </c>
      <c r="K21" t="n">
        <v>74</v>
      </c>
      <c r="L21" t="n">
        <v>4046.5</v>
      </c>
      <c r="M21" t="n">
        <v>39.06</v>
      </c>
    </row>
    <row r="22">
      <c r="A22" s="4" t="inlineStr">
        <is>
          <t>pre-infra-filestats</t>
        </is>
      </c>
      <c r="B22" s="4" t="inlineStr">
        <is>
          <t>PRE</t>
        </is>
      </c>
      <c r="C22" s="4" t="inlineStr">
        <is>
          <t>NFS. Patron pre-infra-filestats</t>
        </is>
      </c>
      <c r="D22" t="n">
        <v>3460</v>
      </c>
      <c r="E22" t="n">
        <v>3.863</v>
      </c>
      <c r="F22" t="n">
        <v>72409638</v>
      </c>
      <c r="G22" s="4" t="n">
        <v>10.065</v>
      </c>
      <c r="H22" s="4" t="n">
        <v>0</v>
      </c>
      <c r="I22" s="4" t="n">
        <v>0</v>
      </c>
      <c r="J22" s="4" t="n">
        <v>949.65</v>
      </c>
      <c r="K22" t="n">
        <v>25</v>
      </c>
      <c r="L22" t="n">
        <v>2104</v>
      </c>
      <c r="M22" t="n">
        <v>242.55</v>
      </c>
    </row>
    <row r="23">
      <c r="A23" s="4" t="inlineStr">
        <is>
          <t>.ds-filebeat-sample</t>
        </is>
      </c>
      <c r="B23" s="4" t="inlineStr">
        <is>
          <t>PRE</t>
        </is>
      </c>
      <c r="C23" s="4" t="inlineStr">
        <is>
          <t>Data stream, Filebeat. Patron .ds-filebeat-sample</t>
        </is>
      </c>
      <c r="D23" t="n">
        <v>7904.8</v>
      </c>
      <c r="E23" t="n">
        <v>2.683</v>
      </c>
      <c r="F23" t="n">
        <v>1945800271</v>
      </c>
      <c r="G23" s="4" t="n">
        <v>80.535</v>
      </c>
      <c r="H23" s="4" t="n">
        <v>0</v>
      </c>
      <c r="I23" s="4" t="n">
        <v>0</v>
      </c>
      <c r="J23" s="4" t="n">
        <v>266.85</v>
      </c>
      <c r="K23" t="n">
        <v>55</v>
      </c>
      <c r="L23" t="n">
        <v>3190.5</v>
      </c>
      <c r="M23" t="n">
        <v>365.21</v>
      </c>
    </row>
    <row r="24">
      <c r="A24" s="4" t="inlineStr">
        <is>
          <t>pre-apps-dev</t>
        </is>
      </c>
      <c r="B24" s="4" t="inlineStr">
        <is>
          <t>PRE</t>
        </is>
      </c>
      <c r="C24" s="4" t="inlineStr">
        <is>
          <t>Familia de indices. Patron pre-apps-dev</t>
        </is>
      </c>
      <c r="D24" t="n">
        <v>974.4</v>
      </c>
      <c r="E24" t="n">
        <v>1.743</v>
      </c>
      <c r="F24" t="n">
        <v>429007855</v>
      </c>
      <c r="G24" s="4" t="n">
        <v>106.477</v>
      </c>
      <c r="H24" s="4" t="n">
        <v>0</v>
      </c>
      <c r="I24" s="4" t="n">
        <v>0</v>
      </c>
      <c r="J24" s="4" t="n">
        <v>254.25</v>
      </c>
      <c r="K24" t="n">
        <v>30</v>
      </c>
      <c r="L24" t="n">
        <v>2707.5</v>
      </c>
      <c r="M24" t="n">
        <v>313.58</v>
      </c>
    </row>
    <row r="25">
      <c r="A25" s="4" t="inlineStr">
        <is>
          <t>Other PRE below threshold</t>
        </is>
      </c>
      <c r="B25" s="4" t="inlineStr">
        <is>
          <t>PRE</t>
        </is>
      </c>
      <c r="C25" s="4" t="inlineStr">
        <is>
          <t>Suma medida de 21 familias con menos de 0,05 GB, menos de 100000 documentos y menos de 0,05 eventos/s. No es una integracion.</t>
        </is>
      </c>
      <c r="D25" t="n">
        <v>2189.6</v>
      </c>
      <c r="E25" t="n">
        <v>2.105</v>
      </c>
      <c r="F25" t="n">
        <v>565607172</v>
      </c>
      <c r="G25" s="4" t="n">
        <v>5.086</v>
      </c>
      <c r="H25" s="4" t="n">
        <v>0</v>
      </c>
      <c r="I25" s="4" t="n">
        <v>0</v>
      </c>
      <c r="J25" s="4" t="n">
        <v>350.55</v>
      </c>
      <c r="K25" t="n">
        <v>58</v>
      </c>
      <c r="L25" t="n">
        <v>29</v>
      </c>
      <c r="M25" t="n">
        <v>183.34</v>
      </c>
    </row>
    <row r="26">
      <c r="A26" s="4" t="inlineStr">
        <is>
          <t>.ds-metrics-fleet_server.agent_versions-default</t>
        </is>
      </c>
      <c r="B26" s="4" t="inlineStr">
        <is>
          <t>PRE</t>
        </is>
      </c>
      <c r="C26" s="4" t="inlineStr">
        <is>
          <t>Data stream, metricas, Fleet. Patron .ds-metrics-fleet_server.agent_versions-default</t>
        </is>
      </c>
      <c r="D26" t="n">
        <v>5309.6</v>
      </c>
      <c r="E26" t="n">
        <v>2.836</v>
      </c>
      <c r="F26" t="n">
        <v>224808876</v>
      </c>
      <c r="G26" s="4" t="n">
        <v>45.942</v>
      </c>
      <c r="H26" s="4" t="n">
        <v>0</v>
      </c>
      <c r="I26" s="4" t="n">
        <v>0</v>
      </c>
      <c r="J26" s="4" t="n">
        <v>1484.55</v>
      </c>
      <c r="K26" t="n">
        <v>69</v>
      </c>
      <c r="L26" t="n">
        <v>2792.5</v>
      </c>
      <c r="M26" t="n">
        <v>97.40000000000001</v>
      </c>
    </row>
    <row r="27">
      <c r="A27" s="4" t="inlineStr">
        <is>
          <t>.ds-metrics-fleet_server.agent_status-default</t>
        </is>
      </c>
      <c r="B27" s="4" t="inlineStr">
        <is>
          <t>PRE</t>
        </is>
      </c>
      <c r="C27" s="4" t="inlineStr">
        <is>
          <t>Data stream, metricas, Fleet. Patron .ds-metrics-fleet_server.agent_status-default</t>
        </is>
      </c>
      <c r="D27" t="n">
        <v>1028</v>
      </c>
      <c r="E27" t="n">
        <v>0.713</v>
      </c>
      <c r="F27" t="n">
        <v>806005970</v>
      </c>
      <c r="G27" s="4" t="n">
        <v>41.191</v>
      </c>
      <c r="H27" s="4" t="n">
        <v>0</v>
      </c>
      <c r="I27" s="4" t="n">
        <v>0</v>
      </c>
      <c r="J27" s="4" t="n">
        <v>190.35</v>
      </c>
      <c r="K27" t="n">
        <v>2</v>
      </c>
      <c r="L27" t="n">
        <v>1448</v>
      </c>
      <c r="M27" t="n">
        <v>34.72</v>
      </c>
    </row>
    <row r="28">
      <c r="A28" s="4" t="inlineStr">
        <is>
          <t>pro-k8s-cloud-applogs</t>
        </is>
      </c>
      <c r="B28" s="4" t="inlineStr">
        <is>
          <t>PRO</t>
        </is>
      </c>
      <c r="C28" s="4" t="inlineStr">
        <is>
          <t>logs de aplicacion Kubernetes, Azure. Patron pro-k8s-azure-applogs</t>
        </is>
      </c>
      <c r="D28" t="n">
        <v>3758.4</v>
      </c>
      <c r="E28" t="n">
        <v>2.741</v>
      </c>
      <c r="F28" t="n">
        <v>2729504541</v>
      </c>
      <c r="G28" s="4" t="n">
        <v>239.613</v>
      </c>
      <c r="H28" s="4" t="n">
        <v>0</v>
      </c>
      <c r="I28" s="4" t="n">
        <v>0</v>
      </c>
      <c r="J28" s="4" t="n">
        <v>3121.65</v>
      </c>
      <c r="K28" t="n">
        <v>140</v>
      </c>
      <c r="L28" t="n">
        <v>1304</v>
      </c>
      <c r="M28" t="n">
        <v>94.73</v>
      </c>
    </row>
    <row r="29">
      <c r="A29" s="4" t="inlineStr">
        <is>
          <t>pro-k8s-onprem-applogs</t>
        </is>
      </c>
      <c r="B29" s="4" t="inlineStr">
        <is>
          <t>PRO</t>
        </is>
      </c>
      <c r="C29" s="4" t="inlineStr">
        <is>
          <t>logs de aplicacion Kubernetes, on-prem. Patron pro-k8s-onprem-applogs</t>
        </is>
      </c>
      <c r="D29" t="n">
        <v>1323.2</v>
      </c>
      <c r="E29" t="n">
        <v>3.826</v>
      </c>
      <c r="F29" t="n">
        <v>3770002460</v>
      </c>
      <c r="G29" s="4" t="n">
        <v>243.533</v>
      </c>
      <c r="H29" s="4" t="n">
        <v>0</v>
      </c>
      <c r="I29" s="4" t="n">
        <v>0</v>
      </c>
      <c r="J29" s="4" t="n">
        <v>2313.45</v>
      </c>
      <c r="K29" t="n">
        <v>62</v>
      </c>
      <c r="L29" t="n">
        <v>3299.5</v>
      </c>
      <c r="M29" t="n">
        <v>328.86</v>
      </c>
    </row>
    <row r="30">
      <c r="A30" s="4" t="inlineStr">
        <is>
          <t>pro-app-stats-engine</t>
        </is>
      </c>
      <c r="B30" s="4" t="inlineStr">
        <is>
          <t>PRO</t>
        </is>
      </c>
      <c r="C30" s="4" t="inlineStr">
        <is>
          <t>stats engine, estadisticas. Patron pro-app-stats engine-estadisticas</t>
        </is>
      </c>
      <c r="D30" t="n">
        <v>6556.8</v>
      </c>
      <c r="E30" t="n">
        <v>2.606</v>
      </c>
      <c r="F30" t="n">
        <v>203009594</v>
      </c>
      <c r="G30" s="4" t="n">
        <v>48.379</v>
      </c>
      <c r="H30" s="4" t="n">
        <v>0</v>
      </c>
      <c r="I30" s="4" t="n">
        <v>0</v>
      </c>
      <c r="J30" s="4" t="n">
        <v>3825.9</v>
      </c>
      <c r="K30" t="n">
        <v>104</v>
      </c>
      <c r="L30" t="n">
        <v>4821.5</v>
      </c>
      <c r="M30" t="n">
        <v>95.52</v>
      </c>
    </row>
    <row r="31">
      <c r="A31" s="4" t="inlineStr">
        <is>
          <t>pro-k8s-cloud-applogs-30d</t>
        </is>
      </c>
      <c r="B31" s="4" t="inlineStr">
        <is>
          <t>PRO</t>
        </is>
      </c>
      <c r="C31" s="4" t="inlineStr">
        <is>
          <t>logs de aplicacion Kubernetes, Azure. Patron pro-k8s-azure-applogs-30</t>
        </is>
      </c>
      <c r="D31" t="n">
        <v>6011.2</v>
      </c>
      <c r="E31" t="n">
        <v>1.332</v>
      </c>
      <c r="F31" t="n">
        <v>3434003132</v>
      </c>
      <c r="G31" s="4" t="n">
        <v>87.857</v>
      </c>
      <c r="H31" s="4" t="n">
        <v>0</v>
      </c>
      <c r="I31" s="4" t="n">
        <v>0</v>
      </c>
      <c r="J31" s="4" t="n">
        <v>2121.3</v>
      </c>
      <c r="K31" t="n">
        <v>108</v>
      </c>
      <c r="L31" t="n">
        <v>3875.5</v>
      </c>
      <c r="M31" t="n">
        <v>99.55</v>
      </c>
    </row>
    <row r="32">
      <c r="A32" s="4" t="inlineStr">
        <is>
          <t>pro-db-oltp-joblogs</t>
        </is>
      </c>
      <c r="B32" s="4" t="inlineStr">
        <is>
          <t>PRO</t>
        </is>
      </c>
      <c r="C32" s="4" t="inlineStr">
        <is>
          <t>OLTP database. Patron pro-bbdd-OLTP database-logproejec</t>
        </is>
      </c>
      <c r="D32" t="n">
        <v>1380</v>
      </c>
      <c r="E32" t="n">
        <v>3.927</v>
      </c>
      <c r="F32" t="n">
        <v>1190007620</v>
      </c>
      <c r="G32" s="4" t="n">
        <v>49.429</v>
      </c>
      <c r="H32" s="4" t="n">
        <v>0</v>
      </c>
      <c r="I32" s="4" t="n">
        <v>0</v>
      </c>
      <c r="J32" s="4" t="n">
        <v>1345.95</v>
      </c>
      <c r="K32" t="n">
        <v>12</v>
      </c>
      <c r="L32" t="n">
        <v>1057.5</v>
      </c>
      <c r="M32" t="n">
        <v>303.8</v>
      </c>
    </row>
    <row r="33">
      <c r="A33" s="4" t="inlineStr">
        <is>
          <t>metricbeat</t>
        </is>
      </c>
      <c r="B33" s="4" t="inlineStr">
        <is>
          <t>PRO</t>
        </is>
      </c>
      <c r="C33" s="4" t="inlineStr">
        <is>
          <t>Metricbeat. Patron metricbeat</t>
        </is>
      </c>
      <c r="D33" t="n">
        <v>5126.4</v>
      </c>
      <c r="E33" t="n">
        <v>2.608</v>
      </c>
      <c r="F33" t="n">
        <v>2593504813</v>
      </c>
      <c r="G33" s="4" t="n">
        <v>24.404</v>
      </c>
      <c r="H33" s="4" t="n">
        <v>0</v>
      </c>
      <c r="I33" s="4" t="n">
        <v>0</v>
      </c>
      <c r="J33" s="4" t="n">
        <v>88.65000000000001</v>
      </c>
      <c r="K33" t="n">
        <v>147</v>
      </c>
      <c r="L33" t="n">
        <v>2400.5</v>
      </c>
      <c r="M33" t="n">
        <v>325.67</v>
      </c>
    </row>
    <row r="34">
      <c r="A34" s="4" t="inlineStr">
        <is>
          <t>pro-db-oltp</t>
        </is>
      </c>
      <c r="B34" s="4" t="inlineStr">
        <is>
          <t>PRO</t>
        </is>
      </c>
      <c r="C34" s="4" t="inlineStr">
        <is>
          <t>OLTP database. Patron pro-bbdd-OLTP database</t>
        </is>
      </c>
      <c r="D34" t="n">
        <v>104.8</v>
      </c>
      <c r="E34" t="n">
        <v>0.312</v>
      </c>
      <c r="F34" t="n">
        <v>4180001640</v>
      </c>
      <c r="G34" s="4" t="n">
        <v>111.412</v>
      </c>
      <c r="H34" s="4" t="n">
        <v>0</v>
      </c>
      <c r="I34" s="4" t="n">
        <v>0</v>
      </c>
      <c r="J34" s="4" t="n">
        <v>1861.2</v>
      </c>
      <c r="K34" t="n">
        <v>151</v>
      </c>
      <c r="L34" t="n">
        <v>2768.5</v>
      </c>
      <c r="M34" t="n">
        <v>93.29000000000001</v>
      </c>
    </row>
    <row r="35">
      <c r="A35" s="4" t="inlineStr">
        <is>
          <t>pro-app-appserver</t>
        </is>
      </c>
      <c r="B35" s="4" t="inlineStr">
        <is>
          <t>PRO</t>
        </is>
      </c>
      <c r="C35" s="4" t="inlineStr">
        <is>
          <t>Tomcat. Patron pro-app-appserver</t>
        </is>
      </c>
      <c r="D35" t="n">
        <v>4104.8</v>
      </c>
      <c r="E35" t="n">
        <v>1.868</v>
      </c>
      <c r="F35" t="n">
        <v>2957504085</v>
      </c>
      <c r="G35" s="4" t="n">
        <v>160.025</v>
      </c>
      <c r="H35" s="4" t="n">
        <v>0</v>
      </c>
      <c r="I35" s="4" t="n">
        <v>0</v>
      </c>
      <c r="J35" s="4" t="n">
        <v>416.7</v>
      </c>
      <c r="K35" t="n">
        <v>151</v>
      </c>
      <c r="L35" t="n">
        <v>2158.5</v>
      </c>
      <c r="M35" t="n">
        <v>217.94</v>
      </c>
    </row>
    <row r="36">
      <c r="A36" s="4" t="inlineStr">
        <is>
          <t>pro-db-oltp-sessions</t>
        </is>
      </c>
      <c r="B36" s="4" t="inlineStr">
        <is>
          <t>PRO</t>
        </is>
      </c>
      <c r="C36" s="4" t="inlineStr">
        <is>
          <t>OLTP database. Patron pro-bbdd-OLTP database-deltasesiones</t>
        </is>
      </c>
      <c r="D36" t="n">
        <v>7263.2</v>
      </c>
      <c r="E36" t="n">
        <v>1.472</v>
      </c>
      <c r="F36" t="n">
        <v>1663506673</v>
      </c>
      <c r="G36" s="4" t="n">
        <v>18.839</v>
      </c>
      <c r="H36" s="4" t="n">
        <v>0</v>
      </c>
      <c r="I36" s="4" t="n">
        <v>0</v>
      </c>
      <c r="J36" s="4" t="n">
        <v>4231.8</v>
      </c>
      <c r="K36" t="n">
        <v>159</v>
      </c>
      <c r="L36" t="n">
        <v>1925.5</v>
      </c>
      <c r="M36" t="n">
        <v>318.92</v>
      </c>
    </row>
    <row r="37">
      <c r="A37" s="4" t="inlineStr">
        <is>
          <t>pro-app-public-web</t>
        </is>
      </c>
      <c r="B37" s="4" t="inlineStr">
        <is>
          <t>PRO</t>
        </is>
      </c>
      <c r="C37" s="4" t="inlineStr">
        <is>
          <t>web publica. Patron pro-app-public-web</t>
        </is>
      </c>
      <c r="D37" t="n">
        <v>2711.2</v>
      </c>
      <c r="E37" t="n">
        <v>1.887</v>
      </c>
      <c r="F37" t="n">
        <v>2637504725</v>
      </c>
      <c r="G37" s="4" t="n">
        <v>341.67</v>
      </c>
      <c r="H37" s="4" t="n">
        <v>0</v>
      </c>
      <c r="I37" s="4" t="n">
        <v>0</v>
      </c>
      <c r="J37" s="4" t="n">
        <v>1539.45</v>
      </c>
      <c r="K37" t="n">
        <v>155</v>
      </c>
      <c r="L37" t="n">
        <v>4694.5</v>
      </c>
      <c r="M37" t="n">
        <v>179.75</v>
      </c>
    </row>
    <row r="38">
      <c r="A38" s="4" t="inlineStr">
        <is>
          <t>agr-pro-db-oltp-sessions-1h</t>
        </is>
      </c>
      <c r="B38" s="4" t="inlineStr">
        <is>
          <t>PRO</t>
        </is>
      </c>
      <c r="C38" s="4" t="inlineStr">
        <is>
          <t>OLTP database. Patron agr-pro-bbdd-OLTP database-deltasesiones-online-1h</t>
        </is>
      </c>
      <c r="D38" t="n">
        <v>954.4</v>
      </c>
      <c r="E38" t="n">
        <v>3.806</v>
      </c>
      <c r="F38" t="n">
        <v>2651004698</v>
      </c>
      <c r="G38" s="4" t="n">
        <v>241.363</v>
      </c>
      <c r="H38" s="4" t="n">
        <v>0</v>
      </c>
      <c r="I38" s="4" t="n">
        <v>0</v>
      </c>
      <c r="J38" s="4" t="n">
        <v>522.9</v>
      </c>
      <c r="K38" t="n">
        <v>41</v>
      </c>
      <c r="L38" t="n">
        <v>3468.5</v>
      </c>
      <c r="M38" t="n">
        <v>288.48</v>
      </c>
    </row>
    <row r="39">
      <c r="A39" s="4" t="inlineStr">
        <is>
          <t>agr-pro-app-stats-engine-1h</t>
        </is>
      </c>
      <c r="B39" s="4" t="inlineStr">
        <is>
          <t>PRO</t>
        </is>
      </c>
      <c r="C39" s="4" t="inlineStr">
        <is>
          <t>stats engine, estadisticas. Patron agr-pro-app-stats engine-estadisticas-online-1h</t>
        </is>
      </c>
      <c r="D39" t="n">
        <v>5364.8</v>
      </c>
      <c r="E39" t="n">
        <v>2.81</v>
      </c>
      <c r="F39" t="n">
        <v>4968000064</v>
      </c>
      <c r="G39" s="4" t="n">
        <v>106.092</v>
      </c>
      <c r="H39" s="4" t="n">
        <v>0</v>
      </c>
      <c r="I39" s="4" t="n">
        <v>0</v>
      </c>
      <c r="J39" s="4" t="n">
        <v>3390.75</v>
      </c>
      <c r="K39" t="n">
        <v>149</v>
      </c>
      <c r="L39" t="n">
        <v>2121.5</v>
      </c>
      <c r="M39" t="n">
        <v>33.76</v>
      </c>
    </row>
    <row r="40">
      <c r="A40" s="4" t="inlineStr">
        <is>
          <t>pro-infra-filestats</t>
        </is>
      </c>
      <c r="B40" s="4" t="inlineStr">
        <is>
          <t>PRO</t>
        </is>
      </c>
      <c r="C40" s="4" t="inlineStr">
        <is>
          <t>NFS. Patron pro-infra-filestats</t>
        </is>
      </c>
      <c r="D40" t="n">
        <v>2036</v>
      </c>
      <c r="E40" t="n">
        <v>1.952</v>
      </c>
      <c r="F40" t="n">
        <v>76509847</v>
      </c>
      <c r="G40" s="4" t="n">
        <v>33.889</v>
      </c>
      <c r="H40" s="4" t="n">
        <v>0</v>
      </c>
      <c r="I40" s="4" t="n">
        <v>0</v>
      </c>
      <c r="J40" s="4" t="n">
        <v>596.7</v>
      </c>
      <c r="K40" t="n">
        <v>58</v>
      </c>
      <c r="L40" t="n">
        <v>3642.5</v>
      </c>
      <c r="M40" t="n">
        <v>259.67</v>
      </c>
    </row>
    <row r="41">
      <c r="A41" s="4" t="inlineStr">
        <is>
          <t>.ds-logs-pro-ds-core-policy</t>
        </is>
      </c>
      <c r="B41" s="4" t="inlineStr">
        <is>
          <t>PRO</t>
        </is>
      </c>
      <c r="C41" s="4" t="inlineStr">
        <is>
          <t>Data stream, policy platform. Patron .ds-logs-pro-ds-core-policy platform</t>
        </is>
      </c>
      <c r="D41" t="n">
        <v>8.800000000000001</v>
      </c>
      <c r="E41" t="n">
        <v>1.44</v>
      </c>
      <c r="F41" t="n">
        <v>1279007442</v>
      </c>
      <c r="G41" s="4" t="n">
        <v>323.541</v>
      </c>
      <c r="H41" s="4" t="n">
        <v>0</v>
      </c>
      <c r="I41" s="4" t="n">
        <v>0</v>
      </c>
      <c r="J41" s="4" t="n">
        <v>1102.95</v>
      </c>
      <c r="K41" t="n">
        <v>123</v>
      </c>
      <c r="L41" t="n">
        <v>4037.5</v>
      </c>
      <c r="M41" t="n">
        <v>210.08</v>
      </c>
    </row>
    <row r="42">
      <c r="A42" s="4" t="inlineStr">
        <is>
          <t>pro-network-loadbalancer</t>
        </is>
      </c>
      <c r="B42" s="4" t="inlineStr">
        <is>
          <t>PRO</t>
        </is>
      </c>
      <c r="C42" s="4" t="inlineStr">
        <is>
          <t>balanceador. Patron pro-network-loadbalancer</t>
        </is>
      </c>
      <c r="D42" t="n">
        <v>7953.6</v>
      </c>
      <c r="E42" t="n">
        <v>1.372</v>
      </c>
      <c r="F42" t="n">
        <v>4724500551</v>
      </c>
      <c r="G42" s="4" t="n">
        <v>243.603</v>
      </c>
      <c r="H42" s="4" t="n">
        <v>0</v>
      </c>
      <c r="I42" s="4" t="n">
        <v>0</v>
      </c>
      <c r="J42" s="4" t="n">
        <v>4331.25</v>
      </c>
      <c r="K42" t="n">
        <v>92</v>
      </c>
      <c r="L42" t="n">
        <v>3821</v>
      </c>
      <c r="M42" t="n">
        <v>97.84</v>
      </c>
    </row>
    <row r="43">
      <c r="A43" s="4" t="inlineStr">
        <is>
          <t>pro-app-httpd</t>
        </is>
      </c>
      <c r="B43" s="4" t="inlineStr">
        <is>
          <t>PRO</t>
        </is>
      </c>
      <c r="C43" s="4" t="inlineStr">
        <is>
          <t>HTTP. Patron pro-app-httpd</t>
        </is>
      </c>
      <c r="D43" t="n">
        <v>5842.4</v>
      </c>
      <c r="E43" t="n">
        <v>1.412</v>
      </c>
      <c r="F43" t="n">
        <v>4255001490</v>
      </c>
      <c r="G43" s="4" t="n">
        <v>28.814</v>
      </c>
      <c r="H43" s="4" t="n">
        <v>0</v>
      </c>
      <c r="I43" s="4" t="n">
        <v>0</v>
      </c>
      <c r="J43" s="4" t="n">
        <v>4148.55</v>
      </c>
      <c r="K43" t="n">
        <v>96</v>
      </c>
      <c r="L43" t="n">
        <v>2677</v>
      </c>
      <c r="M43" t="n">
        <v>343.78</v>
      </c>
    </row>
    <row r="44">
      <c r="A44" s="4" t="inlineStr">
        <is>
          <t>pro-k8s-onprem-applogs-sso</t>
        </is>
      </c>
      <c r="B44" s="4" t="inlineStr">
        <is>
          <t>PRO</t>
        </is>
      </c>
      <c r="C44" s="4" t="inlineStr">
        <is>
          <t>logs de aplicacion Kubernetes, on-prem. Patron pro-k8s-onprem-applogs-sso</t>
        </is>
      </c>
      <c r="D44" t="n">
        <v>305.6</v>
      </c>
      <c r="E44" t="n">
        <v>3.882</v>
      </c>
      <c r="F44" t="n">
        <v>1329007342</v>
      </c>
      <c r="G44" s="4" t="n">
        <v>177.91</v>
      </c>
      <c r="H44" s="4" t="n">
        <v>0</v>
      </c>
      <c r="I44" s="4" t="n">
        <v>0</v>
      </c>
      <c r="J44" s="4" t="n">
        <v>129.6</v>
      </c>
      <c r="K44" t="n">
        <v>80</v>
      </c>
      <c r="L44" t="n">
        <v>1668.5</v>
      </c>
      <c r="M44" t="n">
        <v>228.23</v>
      </c>
    </row>
    <row r="45">
      <c r="A45" s="4" t="inlineStr">
        <is>
          <t>pro-batch-scheduler-status</t>
        </is>
      </c>
      <c r="B45" s="4" t="inlineStr">
        <is>
          <t>PRO</t>
        </is>
      </c>
      <c r="C45" s="4" t="inlineStr">
        <is>
          <t>batch scheduler. Patron pro-batch-scheduler-status</t>
        </is>
      </c>
      <c r="D45" t="n">
        <v>5578.4</v>
      </c>
      <c r="E45" t="n">
        <v>0.604</v>
      </c>
      <c r="F45" t="n">
        <v>4644500711</v>
      </c>
      <c r="G45" s="4" t="n">
        <v>299.566</v>
      </c>
      <c r="H45" s="4" t="n">
        <v>0</v>
      </c>
      <c r="I45" s="4" t="n">
        <v>0</v>
      </c>
      <c r="J45" s="4" t="n">
        <v>4276.35</v>
      </c>
      <c r="K45" t="n">
        <v>70</v>
      </c>
      <c r="L45" t="n">
        <v>2243.5</v>
      </c>
      <c r="M45" t="n">
        <v>209.88</v>
      </c>
    </row>
    <row r="46">
      <c r="A46" s="4" t="inlineStr">
        <is>
          <t>pro-batch-scheduler-running</t>
        </is>
      </c>
      <c r="B46" s="4" t="inlineStr">
        <is>
          <t>PRO</t>
        </is>
      </c>
      <c r="C46" s="4" t="inlineStr">
        <is>
          <t>batch scheduler. Patron pro-batch-scheduler-running</t>
        </is>
      </c>
      <c r="D46" t="n">
        <v>1005.6</v>
      </c>
      <c r="E46" t="n">
        <v>2.605</v>
      </c>
      <c r="F46" t="n">
        <v>2425505149</v>
      </c>
      <c r="G46" s="4" t="n">
        <v>324.731</v>
      </c>
      <c r="H46" s="4" t="n">
        <v>0</v>
      </c>
      <c r="I46" s="4" t="n">
        <v>0</v>
      </c>
      <c r="J46" s="4" t="n">
        <v>382.05</v>
      </c>
      <c r="K46" t="n">
        <v>193</v>
      </c>
      <c r="L46" t="n">
        <v>2565.5</v>
      </c>
      <c r="M46" t="n">
        <v>188.45</v>
      </c>
    </row>
    <row r="47">
      <c r="A47" s="4" t="inlineStr">
        <is>
          <t>pro-infra-webcheck</t>
        </is>
      </c>
      <c r="B47" s="4" t="inlineStr">
        <is>
          <t>PRO</t>
        </is>
      </c>
      <c r="C47" s="4" t="inlineStr">
        <is>
          <t>checks. Patron pro-infra-webcheck</t>
        </is>
      </c>
      <c r="D47" t="n">
        <v>6803.2</v>
      </c>
      <c r="E47" t="n">
        <v>3.706</v>
      </c>
      <c r="F47" t="n">
        <v>1728506543</v>
      </c>
      <c r="G47" s="4" t="n">
        <v>96.152</v>
      </c>
      <c r="H47" s="4" t="n">
        <v>0</v>
      </c>
      <c r="I47" s="4" t="n">
        <v>0</v>
      </c>
      <c r="J47" s="4" t="n">
        <v>4340.7</v>
      </c>
      <c r="K47" t="n">
        <v>68</v>
      </c>
      <c r="L47" t="n">
        <v>1165.5</v>
      </c>
      <c r="M47" t="n">
        <v>389.59</v>
      </c>
    </row>
    <row r="48">
      <c r="A48" s="4" t="inlineStr">
        <is>
          <t>pro-apps-dev</t>
        </is>
      </c>
      <c r="B48" s="4" t="inlineStr">
        <is>
          <t>PRO</t>
        </is>
      </c>
      <c r="C48" s="4" t="inlineStr">
        <is>
          <t>Familia de indices. Patron pro-apps-dev</t>
        </is>
      </c>
      <c r="D48" t="n">
        <v>5276</v>
      </c>
      <c r="E48" t="n">
        <v>3.598</v>
      </c>
      <c r="F48" t="n">
        <v>2730004540</v>
      </c>
      <c r="G48" s="4" t="n">
        <v>17.3</v>
      </c>
      <c r="H48" s="4" t="n">
        <v>0</v>
      </c>
      <c r="I48" s="4" t="n">
        <v>0</v>
      </c>
      <c r="J48" s="4" t="n">
        <v>3396.15</v>
      </c>
      <c r="K48" t="n">
        <v>82</v>
      </c>
      <c r="L48" t="n">
        <v>2505</v>
      </c>
      <c r="M48" t="n">
        <v>307.15</v>
      </c>
    </row>
    <row r="49">
      <c r="A49" s="4" t="inlineStr">
        <is>
          <t>pro-app-test-db</t>
        </is>
      </c>
      <c r="B49" s="4" t="inlineStr">
        <is>
          <t>PRO</t>
        </is>
      </c>
      <c r="C49" s="4" t="inlineStr">
        <is>
          <t>Familia de indices. Patron pro-app-test-db</t>
        </is>
      </c>
      <c r="D49" t="n">
        <v>5209.6</v>
      </c>
      <c r="E49" t="n">
        <v>2.27</v>
      </c>
      <c r="F49" t="n">
        <v>4152501695</v>
      </c>
      <c r="G49" s="4" t="n">
        <v>33.259</v>
      </c>
      <c r="H49" s="4" t="n">
        <v>0</v>
      </c>
      <c r="I49" s="4" t="n">
        <v>0</v>
      </c>
      <c r="J49" s="4" t="n">
        <v>1593.45</v>
      </c>
      <c r="K49" t="n">
        <v>167</v>
      </c>
      <c r="L49" t="n">
        <v>3517.5</v>
      </c>
      <c r="M49" t="n">
        <v>52.27</v>
      </c>
    </row>
    <row r="50">
      <c r="A50" s="4" t="inlineStr">
        <is>
          <t>pro-db-oltp-memory</t>
        </is>
      </c>
      <c r="B50" s="4" t="inlineStr">
        <is>
          <t>PRO</t>
        </is>
      </c>
      <c r="C50" s="4" t="inlineStr">
        <is>
          <t>OLTP database. Patron pro-bbdd-OLTP database-memoria</t>
        </is>
      </c>
      <c r="D50" t="n">
        <v>1996.8</v>
      </c>
      <c r="E50" t="n">
        <v>3.374</v>
      </c>
      <c r="F50" t="n">
        <v>4204501591</v>
      </c>
      <c r="G50" s="4" t="n">
        <v>166.955</v>
      </c>
      <c r="H50" s="4" t="n">
        <v>0</v>
      </c>
      <c r="I50" s="4" t="n">
        <v>0</v>
      </c>
      <c r="J50" s="4" t="n">
        <v>1432.35</v>
      </c>
      <c r="K50" t="n">
        <v>108</v>
      </c>
      <c r="L50" t="n">
        <v>3787</v>
      </c>
      <c r="M50" t="n">
        <v>295.42</v>
      </c>
    </row>
    <row r="51">
      <c r="A51" s="4" t="inlineStr">
        <is>
          <t>pro-db-oltp-lockwaits</t>
        </is>
      </c>
      <c r="B51" s="4" t="inlineStr">
        <is>
          <t>PRO</t>
        </is>
      </c>
      <c r="C51" s="4" t="inlineStr">
        <is>
          <t>OLTP database. Patron pro-bbdd-OLTP database-lockwaits</t>
        </is>
      </c>
      <c r="D51" t="n">
        <v>7277.6</v>
      </c>
      <c r="E51" t="n">
        <v>0.466</v>
      </c>
      <c r="F51" t="n">
        <v>1981006038</v>
      </c>
      <c r="G51" s="4" t="n">
        <v>39.594</v>
      </c>
      <c r="H51" s="4" t="n">
        <v>0</v>
      </c>
      <c r="I51" s="4" t="n">
        <v>0</v>
      </c>
      <c r="J51" s="4" t="n">
        <v>1105.2</v>
      </c>
      <c r="K51" t="n">
        <v>158</v>
      </c>
      <c r="L51" t="n">
        <v>4615</v>
      </c>
      <c r="M51" t="n">
        <v>319.4</v>
      </c>
    </row>
    <row r="52">
      <c r="A52" s="4" t="inlineStr">
        <is>
          <t>pro-network-switches</t>
        </is>
      </c>
      <c r="B52" s="4" t="inlineStr">
        <is>
          <t>PRO</t>
        </is>
      </c>
      <c r="C52" s="4" t="inlineStr">
        <is>
          <t>Familia de indices. Patron pro-network-switches</t>
        </is>
      </c>
      <c r="D52" t="n">
        <v>2217.6</v>
      </c>
      <c r="E52" t="n">
        <v>1.708</v>
      </c>
      <c r="F52" t="n">
        <v>4686500627</v>
      </c>
      <c r="G52" s="4" t="n">
        <v>52.683</v>
      </c>
      <c r="H52" s="4" t="n">
        <v>0</v>
      </c>
      <c r="I52" s="4" t="n">
        <v>0</v>
      </c>
      <c r="J52" s="4" t="n">
        <v>3878.55</v>
      </c>
      <c r="K52" t="n">
        <v>199</v>
      </c>
      <c r="L52" t="n">
        <v>1932</v>
      </c>
      <c r="M52" t="n">
        <v>384.52</v>
      </c>
    </row>
    <row r="53">
      <c r="A53" s="4" t="inlineStr">
        <is>
          <t>.ds-logs-elastic_agent.fleet_server-default</t>
        </is>
      </c>
      <c r="B53" s="4" t="inlineStr">
        <is>
          <t>PRO</t>
        </is>
      </c>
      <c r="C53" s="4" t="inlineStr">
        <is>
          <t>Data stream, Fleet. Patron .ds-logs-elastic_agent.fleet_server-default</t>
        </is>
      </c>
      <c r="D53" t="n">
        <v>3065.6</v>
      </c>
      <c r="E53" t="n">
        <v>1.98</v>
      </c>
      <c r="F53" t="n">
        <v>267009466</v>
      </c>
      <c r="G53" s="4" t="n">
        <v>226.979</v>
      </c>
      <c r="H53" s="4" t="n">
        <v>0</v>
      </c>
      <c r="I53" s="4" t="n">
        <v>0</v>
      </c>
      <c r="J53" s="4" t="n">
        <v>507.6</v>
      </c>
      <c r="K53" t="n">
        <v>51</v>
      </c>
      <c r="L53" t="n">
        <v>4647.5</v>
      </c>
      <c r="M53" t="n">
        <v>249.22</v>
      </c>
    </row>
    <row r="54">
      <c r="A54" s="4" t="inlineStr">
        <is>
          <t>Other PRO below threshold</t>
        </is>
      </c>
      <c r="B54" s="4" t="inlineStr">
        <is>
          <t>PRO</t>
        </is>
      </c>
      <c r="C54" s="4" t="inlineStr">
        <is>
          <t>Suma medida de 65 familias con menos de 0,05 GB, menos de 100000 documentos y menos de 0,05 eventos/s. No es una integracion.</t>
        </is>
      </c>
      <c r="D54" t="n">
        <v>108</v>
      </c>
      <c r="E54" t="n">
        <v>3.414</v>
      </c>
      <c r="F54" t="n">
        <v>3566502867</v>
      </c>
      <c r="G54" s="4" t="n">
        <v>284.412</v>
      </c>
      <c r="H54" s="4" t="n">
        <v>0</v>
      </c>
      <c r="I54" s="4" t="n">
        <v>0</v>
      </c>
      <c r="J54" s="4" t="n">
        <v>3164.85</v>
      </c>
      <c r="K54" t="n">
        <v>12</v>
      </c>
      <c r="L54" t="n">
        <v>4485</v>
      </c>
      <c r="M54" t="n">
        <v>210.16</v>
      </c>
    </row>
    <row r="55">
      <c r="A55" s="4" t="inlineStr">
        <is>
          <t>pro-network-dns</t>
        </is>
      </c>
      <c r="B55" s="4" t="inlineStr">
        <is>
          <t>PRO</t>
        </is>
      </c>
      <c r="C55" s="4" t="inlineStr">
        <is>
          <t>Familia de indices. Patron pro-network-dns</t>
        </is>
      </c>
      <c r="D55" t="n">
        <v>6693.6</v>
      </c>
      <c r="E55" t="n">
        <v>0.52</v>
      </c>
      <c r="F55" t="n">
        <v>3050003900</v>
      </c>
      <c r="G55" s="4" t="n">
        <v>137.626</v>
      </c>
      <c r="H55" s="4" t="n">
        <v>0</v>
      </c>
      <c r="I55" s="4" t="n">
        <v>0</v>
      </c>
      <c r="J55" s="4" t="n">
        <v>374.85</v>
      </c>
      <c r="K55" t="n">
        <v>63</v>
      </c>
      <c r="L55" t="n">
        <v>3353</v>
      </c>
      <c r="M55" t="n">
        <v>66.12</v>
      </c>
    </row>
    <row r="56">
      <c r="A56" s="4" t="inlineStr">
        <is>
          <t>logstash</t>
        </is>
      </c>
      <c r="B56" s="4" t="inlineStr">
        <is>
          <t>PRO</t>
        </is>
      </c>
      <c r="C56" s="4" t="inlineStr">
        <is>
          <t>Logstash. Patron logstash</t>
        </is>
      </c>
      <c r="D56" t="n">
        <v>1096.8</v>
      </c>
      <c r="E56" t="n">
        <v>0.751</v>
      </c>
      <c r="F56" t="n">
        <v>1729506541</v>
      </c>
      <c r="G56" s="4" t="n">
        <v>44.529</v>
      </c>
      <c r="H56" s="4" t="n">
        <v>0</v>
      </c>
      <c r="I56" s="4" t="n">
        <v>0</v>
      </c>
      <c r="J56" s="4" t="n">
        <v>3794.85</v>
      </c>
      <c r="K56" t="n">
        <v>17</v>
      </c>
      <c r="L56" t="n">
        <v>1697.5</v>
      </c>
      <c r="M56" t="n">
        <v>251.13</v>
      </c>
    </row>
    <row r="57">
      <c r="A57" s="4" t="inlineStr">
        <is>
          <t>.ds-logs-system.syslog-default</t>
        </is>
      </c>
      <c r="B57" s="4" t="inlineStr">
        <is>
          <t>PRO</t>
        </is>
      </c>
      <c r="C57" s="4" t="inlineStr">
        <is>
          <t>Data stream. Patron .ds-logs-system.syslog-default</t>
        </is>
      </c>
      <c r="D57" t="n">
        <v>2635.2</v>
      </c>
      <c r="E57" t="n">
        <v>0.367</v>
      </c>
      <c r="F57" t="n">
        <v>3983502033</v>
      </c>
      <c r="G57" s="4" t="n">
        <v>328.651</v>
      </c>
      <c r="H57" s="4" t="n">
        <v>0</v>
      </c>
      <c r="I57" s="4" t="n">
        <v>0</v>
      </c>
      <c r="J57" s="4" t="n">
        <v>4302</v>
      </c>
      <c r="K57" t="n">
        <v>189</v>
      </c>
      <c r="L57" t="n">
        <v>3714.5</v>
      </c>
      <c r="M57" t="n">
        <v>269.45</v>
      </c>
    </row>
    <row r="58">
      <c r="A58" s="4" t="inlineStr">
        <is>
          <t>.internal.alerts-observability.metrics.alerts-default</t>
        </is>
      </c>
      <c r="B58" s="4" t="inlineStr">
        <is>
          <t>PRO</t>
        </is>
      </c>
      <c r="C58" s="4" t="inlineStr">
        <is>
          <t>Indice interno de Elastic. Patron .internal.alerts-observability.metrics.alerts-default</t>
        </is>
      </c>
      <c r="D58" t="n">
        <v>5660</v>
      </c>
      <c r="E58" t="n">
        <v>2.461</v>
      </c>
      <c r="F58" t="n">
        <v>378509243</v>
      </c>
      <c r="G58" s="4" t="n">
        <v>112.112</v>
      </c>
      <c r="H58" s="4" t="n">
        <v>0</v>
      </c>
      <c r="I58" s="4" t="n">
        <v>0</v>
      </c>
      <c r="J58" s="4" t="n">
        <v>3287.7</v>
      </c>
      <c r="K58" t="n">
        <v>36</v>
      </c>
      <c r="L58" t="n">
        <v>4815.5</v>
      </c>
      <c r="M58" t="n">
        <v>206.33</v>
      </c>
    </row>
    <row r="59">
      <c r="A59" s="4" t="inlineStr">
        <is>
          <t>pro-app-partners</t>
        </is>
      </c>
      <c r="B59" s="4" t="inlineStr">
        <is>
          <t>PRO</t>
        </is>
      </c>
      <c r="C59" s="4" t="inlineStr">
        <is>
          <t>partners. Patron pro-app-partners</t>
        </is>
      </c>
      <c r="D59" t="n">
        <v>1821.6</v>
      </c>
      <c r="E59" t="n">
        <v>2.529</v>
      </c>
      <c r="F59" t="n">
        <v>2638004724</v>
      </c>
      <c r="G59" s="4" t="n">
        <v>96.607</v>
      </c>
      <c r="H59" s="4" t="n">
        <v>0</v>
      </c>
      <c r="I59" s="4" t="n">
        <v>0</v>
      </c>
      <c r="J59" s="4" t="n">
        <v>3992.4</v>
      </c>
      <c r="K59" t="n">
        <v>85</v>
      </c>
      <c r="L59" t="n">
        <v>2019.5</v>
      </c>
      <c r="M59" t="n">
        <v>332.53</v>
      </c>
    </row>
    <row r="60">
      <c r="A60" s="4" t="inlineStr">
        <is>
          <t>.ds-logs-elastic_agent.filebeat-default</t>
        </is>
      </c>
      <c r="B60" s="4" t="inlineStr">
        <is>
          <t>PRO</t>
        </is>
      </c>
      <c r="C60" s="4" t="inlineStr">
        <is>
          <t>Data stream, Filebeat. Patron .ds-logs-elastic_agent.filebeat-default</t>
        </is>
      </c>
      <c r="D60" t="n">
        <v>2135.2</v>
      </c>
      <c r="E60" t="n">
        <v>2.921</v>
      </c>
      <c r="F60" t="n">
        <v>4480001040</v>
      </c>
      <c r="G60" s="4" t="n">
        <v>136.436</v>
      </c>
      <c r="H60" s="4" t="n">
        <v>0</v>
      </c>
      <c r="I60" s="4" t="n">
        <v>0</v>
      </c>
      <c r="J60" s="4" t="n">
        <v>4360.05</v>
      </c>
      <c r="K60" t="n">
        <v>47</v>
      </c>
      <c r="L60" t="n">
        <v>4979.5</v>
      </c>
      <c r="M60" t="n">
        <v>156.81</v>
      </c>
    </row>
    <row r="61">
      <c r="A61" s="4" t="inlineStr">
        <is>
          <t>.ds-logs-elastic_agent.metricbeat-default</t>
        </is>
      </c>
      <c r="B61" s="4" t="inlineStr">
        <is>
          <t>PRO</t>
        </is>
      </c>
      <c r="C61" s="4" t="inlineStr">
        <is>
          <t>Data stream, Metricbeat. Patron .ds-logs-elastic_agent.metricbeat-default</t>
        </is>
      </c>
      <c r="D61" t="n">
        <v>6855.2</v>
      </c>
      <c r="E61" t="n">
        <v>3.041</v>
      </c>
      <c r="F61" t="n">
        <v>657008686</v>
      </c>
      <c r="G61" s="4" t="n">
        <v>172.625</v>
      </c>
      <c r="H61" s="4" t="n">
        <v>0</v>
      </c>
      <c r="I61" s="4" t="n">
        <v>0</v>
      </c>
      <c r="J61" s="4" t="n">
        <v>3449.7</v>
      </c>
      <c r="K61" t="n">
        <v>108</v>
      </c>
      <c r="L61" t="n">
        <v>1859.5</v>
      </c>
      <c r="M61" t="n">
        <v>185.78</v>
      </c>
    </row>
    <row r="62">
      <c r="A62" s="4" t="inlineStr">
        <is>
          <t>.ds-logs-elastic_agent.heartbeat-default</t>
        </is>
      </c>
      <c r="B62" s="4" t="inlineStr">
        <is>
          <t>PRO</t>
        </is>
      </c>
      <c r="C62" s="4" t="inlineStr">
        <is>
          <t>Data stream, checks. Patron .ds-logs-elastic_agent.heartbeat-default</t>
        </is>
      </c>
      <c r="D62" t="n">
        <v>7852</v>
      </c>
      <c r="E62" t="n">
        <v>0.963</v>
      </c>
      <c r="F62" t="n">
        <v>1981006038</v>
      </c>
      <c r="G62" s="4" t="n">
        <v>109.382</v>
      </c>
      <c r="H62" s="4" t="n">
        <v>0</v>
      </c>
      <c r="I62" s="4" t="n">
        <v>0</v>
      </c>
      <c r="J62" s="4" t="n">
        <v>1420.65</v>
      </c>
      <c r="K62" t="n">
        <v>12</v>
      </c>
      <c r="L62" t="n">
        <v>4150</v>
      </c>
      <c r="M62" t="n">
        <v>302.01</v>
      </c>
    </row>
    <row r="63">
      <c r="A63" s="4" t="inlineStr">
        <is>
          <t>.ds-metrics-fleet_server.agent_versions-default</t>
        </is>
      </c>
      <c r="B63" s="4" t="inlineStr">
        <is>
          <t>PRO</t>
        </is>
      </c>
      <c r="C63" s="4" t="inlineStr">
        <is>
          <t>Data stream, metricas, Fleet. Patron .ds-metrics-fleet_server.agent_versions-default</t>
        </is>
      </c>
      <c r="D63" t="n">
        <v>5309.6</v>
      </c>
      <c r="E63" t="n">
        <v>2.836</v>
      </c>
      <c r="F63" t="n">
        <v>562008876</v>
      </c>
      <c r="G63" s="4" t="n">
        <v>133.986</v>
      </c>
      <c r="H63" s="4" t="n">
        <v>0</v>
      </c>
      <c r="I63" s="4" t="n">
        <v>0</v>
      </c>
      <c r="J63" s="4" t="n">
        <v>4453.65</v>
      </c>
      <c r="K63" t="n">
        <v>153</v>
      </c>
      <c r="L63" t="n">
        <v>2792.5</v>
      </c>
      <c r="M63" t="n">
        <v>97.40000000000001</v>
      </c>
    </row>
    <row r="64">
      <c r="A64" s="4" t="inlineStr">
        <is>
          <t>.ds-.monitoring-es-sample</t>
        </is>
      </c>
      <c r="B64" s="4" t="inlineStr">
        <is>
          <t>MON</t>
        </is>
      </c>
      <c r="C64" s="4" t="inlineStr">
        <is>
          <t>Stack monitoring, Data stream. Patron .ds-.monitoring-es-sample</t>
        </is>
      </c>
      <c r="D64" t="n">
        <v>44.12</v>
      </c>
      <c r="E64" t="n">
        <v>3.134</v>
      </c>
      <c r="F64" t="n">
        <v>367608162</v>
      </c>
      <c r="G64" s="4" t="n">
        <v>8.58</v>
      </c>
      <c r="H64" s="4" t="n">
        <v>0</v>
      </c>
      <c r="I64" s="4" t="n">
        <v>0</v>
      </c>
      <c r="J64" s="4" t="n">
        <v>0</v>
      </c>
      <c r="K64" t="n">
        <v>45</v>
      </c>
      <c r="L64" t="n">
        <v>13.85</v>
      </c>
      <c r="M64" t="n">
        <v>145.85</v>
      </c>
    </row>
    <row r="65">
      <c r="A65" s="4" t="inlineStr">
        <is>
          <t>.ds-.monitoring-logstash-sample</t>
        </is>
      </c>
      <c r="B65" s="4" t="inlineStr">
        <is>
          <t>MON</t>
        </is>
      </c>
      <c r="C65" s="4" t="inlineStr">
        <is>
          <t>Stack monitoring, Data stream, Logstash. Patron .ds-.monitoring-logstash-sample</t>
        </is>
      </c>
      <c r="D65" t="n">
        <v>31.18</v>
      </c>
      <c r="E65" t="n">
        <v>3.21</v>
      </c>
      <c r="F65" t="n">
        <v>1772001140</v>
      </c>
      <c r="G65" s="4" t="n">
        <v>3.992</v>
      </c>
      <c r="H65" s="4" t="n">
        <v>0</v>
      </c>
      <c r="I65" s="4" t="n">
        <v>0</v>
      </c>
      <c r="J65" s="4" t="n">
        <v>0</v>
      </c>
      <c r="K65" t="n">
        <v>89</v>
      </c>
      <c r="L65" t="n">
        <v>15.26</v>
      </c>
      <c r="M65" t="n">
        <v>28.22</v>
      </c>
    </row>
    <row r="66">
      <c r="A66" s="4" t="inlineStr">
        <is>
          <t>.ds-elastic-cloud-logs-sample</t>
        </is>
      </c>
      <c r="B66" s="4" t="inlineStr">
        <is>
          <t>MON</t>
        </is>
      </c>
      <c r="C66" s="4" t="inlineStr">
        <is>
          <t>Stack monitoring, Data stream. Patron .ds-elastic-cloud-logs-sample</t>
        </is>
      </c>
      <c r="D66" t="n">
        <v>10.43</v>
      </c>
      <c r="E66" t="n">
        <v>3.849</v>
      </c>
      <c r="F66" t="n">
        <v>1326203369</v>
      </c>
      <c r="G66" s="4" t="n">
        <v>8.928000000000001</v>
      </c>
      <c r="H66" s="4" t="n">
        <v>0</v>
      </c>
      <c r="I66" s="4" t="n">
        <v>0</v>
      </c>
      <c r="J66" s="4" t="n">
        <v>0</v>
      </c>
      <c r="K66" t="n">
        <v>47</v>
      </c>
      <c r="L66" t="n">
        <v>11.93</v>
      </c>
      <c r="M66" t="n">
        <v>132.36</v>
      </c>
    </row>
    <row r="67">
      <c r="A67" s="4" t="inlineStr">
        <is>
          <t>.ds-metricbeat-sample-a</t>
        </is>
      </c>
      <c r="B67" s="4" t="inlineStr">
        <is>
          <t>MON</t>
        </is>
      </c>
      <c r="C67" s="4" t="inlineStr">
        <is>
          <t>Data stream, Metricbeat. Patron .ds-metricbeat-sample-a</t>
        </is>
      </c>
      <c r="D67" t="n">
        <v>9.02</v>
      </c>
      <c r="E67" t="n">
        <v>3.276</v>
      </c>
      <c r="F67" t="n">
        <v>1009004955</v>
      </c>
      <c r="G67" s="4" t="n">
        <v>3.744</v>
      </c>
      <c r="H67" s="4" t="n">
        <v>0</v>
      </c>
      <c r="I67" s="4" t="n">
        <v>0</v>
      </c>
      <c r="J67" s="4" t="n">
        <v>0</v>
      </c>
      <c r="K67" t="n">
        <v>9</v>
      </c>
      <c r="L67" t="n">
        <v>10.82</v>
      </c>
      <c r="M67" t="n">
        <v>43.75</v>
      </c>
    </row>
    <row r="68">
      <c r="A68" s="4" t="inlineStr">
        <is>
          <t>.ds-metricbeat-sample-b</t>
        </is>
      </c>
      <c r="B68" s="4" t="inlineStr">
        <is>
          <t>MON</t>
        </is>
      </c>
      <c r="C68" s="4" t="inlineStr">
        <is>
          <t>Data stream, Metricbeat. Patron .ds-metricbeat-sample-b</t>
        </is>
      </c>
      <c r="D68" t="n">
        <v>1.44</v>
      </c>
      <c r="E68" t="n">
        <v>2.896</v>
      </c>
      <c r="F68" t="n">
        <v>1046804766</v>
      </c>
      <c r="G68" s="4" t="n">
        <v>16.616</v>
      </c>
      <c r="H68" s="4" t="n">
        <v>0</v>
      </c>
      <c r="I68" s="4" t="n">
        <v>0</v>
      </c>
      <c r="J68" s="4" t="n">
        <v>0</v>
      </c>
      <c r="K68" t="n">
        <v>24</v>
      </c>
      <c r="L68" t="n">
        <v>18.53</v>
      </c>
      <c r="M68" t="n">
        <v>77.06</v>
      </c>
    </row>
    <row r="69">
      <c r="A69" s="4" t="inlineStr">
        <is>
          <t>.ds-metricbeat-sample-c</t>
        </is>
      </c>
      <c r="B69" s="4" t="inlineStr">
        <is>
          <t>MON</t>
        </is>
      </c>
      <c r="C69" s="4" t="inlineStr">
        <is>
          <t>Data stream, Metricbeat. Patron .ds-metricbeat-sample-c</t>
        </is>
      </c>
      <c r="D69" t="n">
        <v>47.95</v>
      </c>
      <c r="E69" t="n">
        <v>1.577</v>
      </c>
      <c r="F69" t="n">
        <v>416607917</v>
      </c>
      <c r="G69" s="4" t="n">
        <v>5.353</v>
      </c>
      <c r="H69" s="4" t="n">
        <v>0</v>
      </c>
      <c r="I69" s="4" t="n">
        <v>0</v>
      </c>
      <c r="J69" s="4" t="n">
        <v>0</v>
      </c>
      <c r="K69" t="n">
        <v>34</v>
      </c>
      <c r="L69" t="n">
        <v>10.83</v>
      </c>
      <c r="M69" t="n">
        <v>38.25</v>
      </c>
    </row>
    <row r="70">
      <c r="A70" s="4" t="inlineStr">
        <is>
          <t>.ds-metricbeat-sample-d</t>
        </is>
      </c>
      <c r="B70" s="4" t="inlineStr">
        <is>
          <t>MON</t>
        </is>
      </c>
      <c r="C70" s="4" t="inlineStr">
        <is>
          <t>Data stream, Metricbeat. Patron .ds-metricbeat-sample-d</t>
        </is>
      </c>
      <c r="D70" t="n">
        <v>47.06</v>
      </c>
      <c r="E70" t="n">
        <v>0.89</v>
      </c>
      <c r="F70" t="n">
        <v>103609482</v>
      </c>
      <c r="G70" s="4" t="n">
        <v>13.101</v>
      </c>
      <c r="H70" s="4" t="n">
        <v>0</v>
      </c>
      <c r="I70" s="4" t="n">
        <v>0</v>
      </c>
      <c r="J70" s="4" t="n">
        <v>0</v>
      </c>
      <c r="K70" t="n">
        <v>23</v>
      </c>
      <c r="L70" t="n">
        <v>13.63</v>
      </c>
      <c r="M70" t="n">
        <v>51.88</v>
      </c>
    </row>
    <row r="71">
      <c r="A71" s="4" t="inlineStr">
        <is>
          <t>.ds-metricbeat-sample-e</t>
        </is>
      </c>
      <c r="B71" s="4" t="inlineStr">
        <is>
          <t>MON</t>
        </is>
      </c>
      <c r="C71" s="4" t="inlineStr">
        <is>
          <t>Data stream, Metricbeat. Patron .ds-metricbeat-sample-e</t>
        </is>
      </c>
      <c r="D71" t="n">
        <v>11.24</v>
      </c>
      <c r="E71" t="n">
        <v>3.113</v>
      </c>
      <c r="F71" t="n">
        <v>42409788</v>
      </c>
      <c r="G71" s="4" t="n">
        <v>1.267</v>
      </c>
      <c r="H71" s="4" t="n">
        <v>0</v>
      </c>
      <c r="I71" s="4" t="n">
        <v>0</v>
      </c>
      <c r="J71" s="4" t="n">
        <v>0</v>
      </c>
      <c r="K71" t="n">
        <v>49</v>
      </c>
      <c r="L71" t="n">
        <v>9.550000000000001</v>
      </c>
      <c r="M71" t="n">
        <v>138.89</v>
      </c>
    </row>
    <row r="72">
      <c r="A72" s="4" t="inlineStr">
        <is>
          <t>.ds-.monitoring-kibana-sample</t>
        </is>
      </c>
      <c r="B72" s="4" t="inlineStr">
        <is>
          <t>MON</t>
        </is>
      </c>
      <c r="C72" s="4" t="inlineStr">
        <is>
          <t>Stack monitoring, Data stream, Kibana. Patron .ds-.monitoring-kibana-sample</t>
        </is>
      </c>
      <c r="D72" t="n">
        <v>48.55</v>
      </c>
      <c r="E72" t="n">
        <v>2.337</v>
      </c>
      <c r="F72" t="n">
        <v>1648201759</v>
      </c>
      <c r="G72" s="4" t="n">
        <v>8.304</v>
      </c>
      <c r="H72" s="4" t="n">
        <v>0</v>
      </c>
      <c r="I72" s="4" t="n">
        <v>0</v>
      </c>
      <c r="J72" s="4" t="n">
        <v>0</v>
      </c>
      <c r="K72" t="n">
        <v>60</v>
      </c>
      <c r="L72" t="n">
        <v>13.15</v>
      </c>
      <c r="M72" t="n">
        <v>113.53</v>
      </c>
    </row>
    <row r="73">
      <c r="A73" s="4" t="inlineStr">
        <is>
          <t>.ds-.monitoring-beats-sample</t>
        </is>
      </c>
      <c r="B73" s="4" t="inlineStr">
        <is>
          <t>MON</t>
        </is>
      </c>
      <c r="C73" s="4" t="inlineStr">
        <is>
          <t>Stack monitoring, Data stream. Patron .ds-.monitoring-beats-sample</t>
        </is>
      </c>
      <c r="D73" t="n">
        <v>20.67</v>
      </c>
      <c r="E73" t="n">
        <v>0.205</v>
      </c>
      <c r="F73" t="n">
        <v>344808276</v>
      </c>
      <c r="G73" s="4" t="n">
        <v>15.892</v>
      </c>
      <c r="H73" s="4" t="n">
        <v>0</v>
      </c>
      <c r="I73" s="4" t="n">
        <v>0</v>
      </c>
      <c r="J73" s="4" t="n">
        <v>0</v>
      </c>
      <c r="K73" t="n">
        <v>86</v>
      </c>
      <c r="L73" t="n">
        <v>17.44</v>
      </c>
      <c r="M73" t="n">
        <v>37.68</v>
      </c>
    </row>
    <row r="74">
      <c r="A74" s="4" t="inlineStr">
        <is>
          <t>.ds-logs-elastic_agent.filebeat-default</t>
        </is>
      </c>
      <c r="B74" s="4" t="inlineStr">
        <is>
          <t>MON</t>
        </is>
      </c>
      <c r="C74" s="4" t="inlineStr">
        <is>
          <t>Data stream, Filebeat. Patron .ds-logs-elastic_agent.filebeat-default</t>
        </is>
      </c>
      <c r="D74" t="n">
        <v>13.35</v>
      </c>
      <c r="E74" t="n">
        <v>2.921</v>
      </c>
      <c r="F74" t="n">
        <v>1792001040</v>
      </c>
      <c r="G74" s="4" t="n">
        <v>7.802</v>
      </c>
      <c r="H74" s="4" t="n">
        <v>0</v>
      </c>
      <c r="I74" s="4" t="n">
        <v>0</v>
      </c>
      <c r="J74" s="4" t="n">
        <v>0</v>
      </c>
      <c r="K74" t="n">
        <v>22</v>
      </c>
      <c r="L74" t="n">
        <v>19.92</v>
      </c>
      <c r="M74" t="n">
        <v>78.70999999999999</v>
      </c>
    </row>
    <row r="75">
      <c r="A75" s="4" t="inlineStr">
        <is>
          <t>Other MON below threshold</t>
        </is>
      </c>
      <c r="B75" s="4" t="inlineStr">
        <is>
          <t>MON</t>
        </is>
      </c>
      <c r="C75" s="4" t="inlineStr">
        <is>
          <t>Suma medida de 43 familias con menos de 0,05 GB, menos de 100000 documentos y menos de 0,05 eventos/s. No es una integracion.</t>
        </is>
      </c>
      <c r="D75" t="n">
        <v>29.24</v>
      </c>
      <c r="E75" t="n">
        <v>3.481</v>
      </c>
      <c r="F75" t="n">
        <v>872005640</v>
      </c>
      <c r="G75" s="4" t="n">
        <v>19.322</v>
      </c>
      <c r="H75" s="4" t="n">
        <v>0</v>
      </c>
      <c r="I75" s="4" t="n">
        <v>0</v>
      </c>
      <c r="J75" s="4" t="n">
        <v>0</v>
      </c>
      <c r="K75" t="n">
        <v>87</v>
      </c>
      <c r="L75" t="n">
        <v>14.82</v>
      </c>
      <c r="M75" t="n">
        <v>15.31</v>
      </c>
    </row>
  </sheetData>
  <mergeCells count="1">
    <mergeCell ref="A1:M1"/>
  </mergeCells>
  <dataValidations count="1">
    <dataValidation sqref="B3:B125" showDropDown="0" showInputMessage="0" showErrorMessage="0" allowBlank="1" type="list">
      <formula1>=Environments!$A$5:$A$50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Without Admin Cost — no surcharge</t>
        </is>
      </c>
    </row>
    <row r="2">
      <c r="A2" t="inlineStr">
        <is>
          <t>Surcharge rate</t>
        </is>
      </c>
      <c r="B2" t="n">
        <v>0</v>
      </c>
    </row>
    <row r="4">
      <c r="A4" s="2" t="inlineStr">
        <is>
          <t>Family</t>
        </is>
      </c>
      <c r="B4" s="2" t="inlineStr">
        <is>
          <t>Env</t>
        </is>
      </c>
      <c r="C4" s="2" t="inlineStr">
        <is>
          <t>GB hot</t>
        </is>
      </c>
      <c r="D4" s="2" t="inlineStr">
        <is>
          <t>Share hot</t>
        </is>
      </c>
      <c r="E4" s="2" t="inlineStr">
        <is>
          <t>GB warm</t>
        </is>
      </c>
      <c r="F4" s="2" t="inlineStr">
        <is>
          <t>Share warm</t>
        </is>
      </c>
      <c r="G4" s="2" t="inlineStr">
        <is>
          <t>GB cold</t>
        </is>
      </c>
      <c r="H4" s="2" t="inlineStr">
        <is>
          <t>Share cold</t>
        </is>
      </c>
      <c r="I4" s="2" t="inlineStr">
        <is>
          <t>GB frozen</t>
        </is>
      </c>
      <c r="J4" s="2" t="inlineStr">
        <is>
          <t>Share frozen</t>
        </is>
      </c>
      <c r="K4" s="2" t="inlineStr">
        <is>
          <t>Hot /h</t>
        </is>
      </c>
      <c r="L4" s="2" t="inlineStr">
        <is>
          <t>Warm /h</t>
        </is>
      </c>
      <c r="M4" s="2" t="inlineStr">
        <is>
          <t>Cold /h</t>
        </is>
      </c>
      <c r="N4" s="2" t="inlineStr">
        <is>
          <t>Frozen /h</t>
        </is>
      </c>
      <c r="O4" s="2" t="inlineStr">
        <is>
          <t>Snapshots/mo</t>
        </is>
      </c>
      <c r="P4" s="2" t="inlineStr">
        <is>
          <t>Cost/mo capacity</t>
        </is>
      </c>
      <c r="Q4" s="2" t="inlineStr">
        <is>
          <t>Cost/mo snapshots</t>
        </is>
      </c>
      <c r="R4" s="2" t="inlineStr">
        <is>
          <t>Cost/mo Elastic</t>
        </is>
      </c>
      <c r="S4" s="2" t="inlineStr">
        <is>
          <t>Cost/mo surcharge</t>
        </is>
      </c>
      <c r="T4" s="2" t="inlineStr">
        <is>
          <t>Cost/mo total</t>
        </is>
      </c>
      <c r="U4" s="2" t="inlineStr">
        <is>
          <t>Cost/year</t>
        </is>
      </c>
    </row>
    <row r="5">
      <c r="A5">
        <f>Measurement!A3</f>
        <v/>
      </c>
      <c r="B5">
        <f>Measurement!B3</f>
        <v/>
      </c>
      <c r="C5">
        <f>Measurement!G3</f>
        <v/>
      </c>
      <c r="D5">
        <f>IF(SUMIF(Measurement!$B:$B,B5,Measurement!$G:$G)=0,0,C5/SUMIF(Measurement!$B:$B,B5,Measurement!$G:$G))</f>
        <v/>
      </c>
      <c r="E5">
        <f>Measurement!H3</f>
        <v/>
      </c>
      <c r="F5">
        <f>IF(SUMIF(Measurement!$B:$B,B5,Measurement!$H:$H)=0,0,E5/SUMIF(Measurement!$B:$B,B5,Measurement!$H:$H))</f>
        <v/>
      </c>
      <c r="G5">
        <f>Measurement!I3</f>
        <v/>
      </c>
      <c r="H5">
        <f>IF(SUMIF(Measurement!$B:$B,B5,Measurement!$I:$I)=0,0,G5/SUMIF(Measurement!$B:$B,B5,Measurement!$I:$I))</f>
        <v/>
      </c>
      <c r="I5">
        <f>Measurement!J3</f>
        <v/>
      </c>
      <c r="J5">
        <f>IF(SUMIF(Measurement!$B:$B,B5,Measurement!$J:$J)=0,0,I5/SUMIF(Measurement!$B:$B,B5,Measurement!$J:$J))</f>
        <v/>
      </c>
      <c r="K5">
        <f>IFERROR(VLOOKUP(B5,Environments!$A$5:$K$50,4,FALSE),0)</f>
        <v/>
      </c>
      <c r="L5">
        <f>IFERROR(VLOOKUP(B5,Environments!$A$5:$K$50,5,FALSE),0)</f>
        <v/>
      </c>
      <c r="M5">
        <f>IFERROR(VLOOKUP(B5,Environments!$A$5:$K$50,6,FALSE),0)</f>
        <v/>
      </c>
      <c r="N5">
        <f>IFERROR(VLOOKUP(B5,Environments!$A$5:$K$50,7,FALSE),0)</f>
        <v/>
      </c>
      <c r="O5">
        <f>IFERROR(VLOOKUP(B5,Environments!$A$5:$K$50,11,FALSE),0)</f>
        <v/>
      </c>
      <c r="P5">
        <f>(D5*K5+F5*L5+H5*M5+J5*N5)*Global!$B$5</f>
        <v/>
      </c>
      <c r="Q5">
        <f>IF(SUMIF(Measurement!$B:$B,B5,Measurement!$J:$J)=0,D5*O5,J5*O5)</f>
        <v/>
      </c>
      <c r="R5">
        <f>P5+Q5</f>
        <v/>
      </c>
      <c r="S5" t="n">
        <v>0</v>
      </c>
      <c r="T5">
        <f>R5+S5</f>
        <v/>
      </c>
      <c r="U5">
        <f>T5*12</f>
        <v/>
      </c>
    </row>
    <row r="6">
      <c r="A6">
        <f>Measurement!A4</f>
        <v/>
      </c>
      <c r="B6">
        <f>Measurement!B4</f>
        <v/>
      </c>
      <c r="C6">
        <f>Measurement!G4</f>
        <v/>
      </c>
      <c r="D6">
        <f>IF(SUMIF(Measurement!$B:$B,B6,Measurement!$G:$G)=0,0,C6/SUMIF(Measurement!$B:$B,B6,Measurement!$G:$G))</f>
        <v/>
      </c>
      <c r="E6">
        <f>Measurement!H4</f>
        <v/>
      </c>
      <c r="F6">
        <f>IF(SUMIF(Measurement!$B:$B,B6,Measurement!$H:$H)=0,0,E6/SUMIF(Measurement!$B:$B,B6,Measurement!$H:$H))</f>
        <v/>
      </c>
      <c r="G6">
        <f>Measurement!I4</f>
        <v/>
      </c>
      <c r="H6">
        <f>IF(SUMIF(Measurement!$B:$B,B6,Measurement!$I:$I)=0,0,G6/SUMIF(Measurement!$B:$B,B6,Measurement!$I:$I))</f>
        <v/>
      </c>
      <c r="I6">
        <f>Measurement!J4</f>
        <v/>
      </c>
      <c r="J6">
        <f>IF(SUMIF(Measurement!$B:$B,B6,Measurement!$J:$J)=0,0,I6/SUMIF(Measurement!$B:$B,B6,Measurement!$J:$J))</f>
        <v/>
      </c>
      <c r="K6">
        <f>IFERROR(VLOOKUP(B6,Environments!$A$5:$K$50,4,FALSE),0)</f>
        <v/>
      </c>
      <c r="L6">
        <f>IFERROR(VLOOKUP(B6,Environments!$A$5:$K$50,5,FALSE),0)</f>
        <v/>
      </c>
      <c r="M6">
        <f>IFERROR(VLOOKUP(B6,Environments!$A$5:$K$50,6,FALSE),0)</f>
        <v/>
      </c>
      <c r="N6">
        <f>IFERROR(VLOOKUP(B6,Environments!$A$5:$K$50,7,FALSE),0)</f>
        <v/>
      </c>
      <c r="O6">
        <f>IFERROR(VLOOKUP(B6,Environments!$A$5:$K$50,11,FALSE),0)</f>
        <v/>
      </c>
      <c r="P6">
        <f>(D6*K6+F6*L6+H6*M6+J6*N6)*Global!$B$5</f>
        <v/>
      </c>
      <c r="Q6">
        <f>IF(SUMIF(Measurement!$B:$B,B6,Measurement!$J:$J)=0,D6*O6,J6*O6)</f>
        <v/>
      </c>
      <c r="R6">
        <f>P6+Q6</f>
        <v/>
      </c>
      <c r="S6" t="n">
        <v>0</v>
      </c>
      <c r="T6">
        <f>R6+S6</f>
        <v/>
      </c>
      <c r="U6">
        <f>T6*12</f>
        <v/>
      </c>
    </row>
    <row r="7">
      <c r="A7">
        <f>Measurement!A5</f>
        <v/>
      </c>
      <c r="B7">
        <f>Measurement!B5</f>
        <v/>
      </c>
      <c r="C7">
        <f>Measurement!G5</f>
        <v/>
      </c>
      <c r="D7">
        <f>IF(SUMIF(Measurement!$B:$B,B7,Measurement!$G:$G)=0,0,C7/SUMIF(Measurement!$B:$B,B7,Measurement!$G:$G))</f>
        <v/>
      </c>
      <c r="E7">
        <f>Measurement!H5</f>
        <v/>
      </c>
      <c r="F7">
        <f>IF(SUMIF(Measurement!$B:$B,B7,Measurement!$H:$H)=0,0,E7/SUMIF(Measurement!$B:$B,B7,Measurement!$H:$H))</f>
        <v/>
      </c>
      <c r="G7">
        <f>Measurement!I5</f>
        <v/>
      </c>
      <c r="H7">
        <f>IF(SUMIF(Measurement!$B:$B,B7,Measurement!$I:$I)=0,0,G7/SUMIF(Measurement!$B:$B,B7,Measurement!$I:$I))</f>
        <v/>
      </c>
      <c r="I7">
        <f>Measurement!J5</f>
        <v/>
      </c>
      <c r="J7">
        <f>IF(SUMIF(Measurement!$B:$B,B7,Measurement!$J:$J)=0,0,I7/SUMIF(Measurement!$B:$B,B7,Measurement!$J:$J))</f>
        <v/>
      </c>
      <c r="K7">
        <f>IFERROR(VLOOKUP(B7,Environments!$A$5:$K$50,4,FALSE),0)</f>
        <v/>
      </c>
      <c r="L7">
        <f>IFERROR(VLOOKUP(B7,Environments!$A$5:$K$50,5,FALSE),0)</f>
        <v/>
      </c>
      <c r="M7">
        <f>IFERROR(VLOOKUP(B7,Environments!$A$5:$K$50,6,FALSE),0)</f>
        <v/>
      </c>
      <c r="N7">
        <f>IFERROR(VLOOKUP(B7,Environments!$A$5:$K$50,7,FALSE),0)</f>
        <v/>
      </c>
      <c r="O7">
        <f>IFERROR(VLOOKUP(B7,Environments!$A$5:$K$50,11,FALSE),0)</f>
        <v/>
      </c>
      <c r="P7">
        <f>(D7*K7+F7*L7+H7*M7+J7*N7)*Global!$B$5</f>
        <v/>
      </c>
      <c r="Q7">
        <f>IF(SUMIF(Measurement!$B:$B,B7,Measurement!$J:$J)=0,D7*O7,J7*O7)</f>
        <v/>
      </c>
      <c r="R7">
        <f>P7+Q7</f>
        <v/>
      </c>
      <c r="S7" t="n">
        <v>0</v>
      </c>
      <c r="T7">
        <f>R7+S7</f>
        <v/>
      </c>
      <c r="U7">
        <f>T7*12</f>
        <v/>
      </c>
    </row>
    <row r="8">
      <c r="A8">
        <f>Measurement!A6</f>
        <v/>
      </c>
      <c r="B8">
        <f>Measurement!B6</f>
        <v/>
      </c>
      <c r="C8">
        <f>Measurement!G6</f>
        <v/>
      </c>
      <c r="D8">
        <f>IF(SUMIF(Measurement!$B:$B,B8,Measurement!$G:$G)=0,0,C8/SUMIF(Measurement!$B:$B,B8,Measurement!$G:$G))</f>
        <v/>
      </c>
      <c r="E8">
        <f>Measurement!H6</f>
        <v/>
      </c>
      <c r="F8">
        <f>IF(SUMIF(Measurement!$B:$B,B8,Measurement!$H:$H)=0,0,E8/SUMIF(Measurement!$B:$B,B8,Measurement!$H:$H))</f>
        <v/>
      </c>
      <c r="G8">
        <f>Measurement!I6</f>
        <v/>
      </c>
      <c r="H8">
        <f>IF(SUMIF(Measurement!$B:$B,B8,Measurement!$I:$I)=0,0,G8/SUMIF(Measurement!$B:$B,B8,Measurement!$I:$I))</f>
        <v/>
      </c>
      <c r="I8">
        <f>Measurement!J6</f>
        <v/>
      </c>
      <c r="J8">
        <f>IF(SUMIF(Measurement!$B:$B,B8,Measurement!$J:$J)=0,0,I8/SUMIF(Measurement!$B:$B,B8,Measurement!$J:$J))</f>
        <v/>
      </c>
      <c r="K8">
        <f>IFERROR(VLOOKUP(B8,Environments!$A$5:$K$50,4,FALSE),0)</f>
        <v/>
      </c>
      <c r="L8">
        <f>IFERROR(VLOOKUP(B8,Environments!$A$5:$K$50,5,FALSE),0)</f>
        <v/>
      </c>
      <c r="M8">
        <f>IFERROR(VLOOKUP(B8,Environments!$A$5:$K$50,6,FALSE),0)</f>
        <v/>
      </c>
      <c r="N8">
        <f>IFERROR(VLOOKUP(B8,Environments!$A$5:$K$50,7,FALSE),0)</f>
        <v/>
      </c>
      <c r="O8">
        <f>IFERROR(VLOOKUP(B8,Environments!$A$5:$K$50,11,FALSE),0)</f>
        <v/>
      </c>
      <c r="P8">
        <f>(D8*K8+F8*L8+H8*M8+J8*N8)*Global!$B$5</f>
        <v/>
      </c>
      <c r="Q8">
        <f>IF(SUMIF(Measurement!$B:$B,B8,Measurement!$J:$J)=0,D8*O8,J8*O8)</f>
        <v/>
      </c>
      <c r="R8">
        <f>P8+Q8</f>
        <v/>
      </c>
      <c r="S8" t="n">
        <v>0</v>
      </c>
      <c r="T8">
        <f>R8+S8</f>
        <v/>
      </c>
      <c r="U8">
        <f>T8*12</f>
        <v/>
      </c>
    </row>
    <row r="9">
      <c r="A9">
        <f>Measurement!A7</f>
        <v/>
      </c>
      <c r="B9">
        <f>Measurement!B7</f>
        <v/>
      </c>
      <c r="C9">
        <f>Measurement!G7</f>
        <v/>
      </c>
      <c r="D9">
        <f>IF(SUMIF(Measurement!$B:$B,B9,Measurement!$G:$G)=0,0,C9/SUMIF(Measurement!$B:$B,B9,Measurement!$G:$G))</f>
        <v/>
      </c>
      <c r="E9">
        <f>Measurement!H7</f>
        <v/>
      </c>
      <c r="F9">
        <f>IF(SUMIF(Measurement!$B:$B,B9,Measurement!$H:$H)=0,0,E9/SUMIF(Measurement!$B:$B,B9,Measurement!$H:$H))</f>
        <v/>
      </c>
      <c r="G9">
        <f>Measurement!I7</f>
        <v/>
      </c>
      <c r="H9">
        <f>IF(SUMIF(Measurement!$B:$B,B9,Measurement!$I:$I)=0,0,G9/SUMIF(Measurement!$B:$B,B9,Measurement!$I:$I))</f>
        <v/>
      </c>
      <c r="I9">
        <f>Measurement!J7</f>
        <v/>
      </c>
      <c r="J9">
        <f>IF(SUMIF(Measurement!$B:$B,B9,Measurement!$J:$J)=0,0,I9/SUMIF(Measurement!$B:$B,B9,Measurement!$J:$J))</f>
        <v/>
      </c>
      <c r="K9">
        <f>IFERROR(VLOOKUP(B9,Environments!$A$5:$K$50,4,FALSE),0)</f>
        <v/>
      </c>
      <c r="L9">
        <f>IFERROR(VLOOKUP(B9,Environments!$A$5:$K$50,5,FALSE),0)</f>
        <v/>
      </c>
      <c r="M9">
        <f>IFERROR(VLOOKUP(B9,Environments!$A$5:$K$50,6,FALSE),0)</f>
        <v/>
      </c>
      <c r="N9">
        <f>IFERROR(VLOOKUP(B9,Environments!$A$5:$K$50,7,FALSE),0)</f>
        <v/>
      </c>
      <c r="O9">
        <f>IFERROR(VLOOKUP(B9,Environments!$A$5:$K$50,11,FALSE),0)</f>
        <v/>
      </c>
      <c r="P9">
        <f>(D9*K9+F9*L9+H9*M9+J9*N9)*Global!$B$5</f>
        <v/>
      </c>
      <c r="Q9">
        <f>IF(SUMIF(Measurement!$B:$B,B9,Measurement!$J:$J)=0,D9*O9,J9*O9)</f>
        <v/>
      </c>
      <c r="R9">
        <f>P9+Q9</f>
        <v/>
      </c>
      <c r="S9" t="n">
        <v>0</v>
      </c>
      <c r="T9">
        <f>R9+S9</f>
        <v/>
      </c>
      <c r="U9">
        <f>T9*12</f>
        <v/>
      </c>
    </row>
    <row r="10">
      <c r="A10">
        <f>Measurement!A8</f>
        <v/>
      </c>
      <c r="B10">
        <f>Measurement!B8</f>
        <v/>
      </c>
      <c r="C10">
        <f>Measurement!G8</f>
        <v/>
      </c>
      <c r="D10">
        <f>IF(SUMIF(Measurement!$B:$B,B10,Measurement!$G:$G)=0,0,C10/SUMIF(Measurement!$B:$B,B10,Measurement!$G:$G))</f>
        <v/>
      </c>
      <c r="E10">
        <f>Measurement!H8</f>
        <v/>
      </c>
      <c r="F10">
        <f>IF(SUMIF(Measurement!$B:$B,B10,Measurement!$H:$H)=0,0,E10/SUMIF(Measurement!$B:$B,B10,Measurement!$H:$H))</f>
        <v/>
      </c>
      <c r="G10">
        <f>Measurement!I8</f>
        <v/>
      </c>
      <c r="H10">
        <f>IF(SUMIF(Measurement!$B:$B,B10,Measurement!$I:$I)=0,0,G10/SUMIF(Measurement!$B:$B,B10,Measurement!$I:$I))</f>
        <v/>
      </c>
      <c r="I10">
        <f>Measurement!J8</f>
        <v/>
      </c>
      <c r="J10">
        <f>IF(SUMIF(Measurement!$B:$B,B10,Measurement!$J:$J)=0,0,I10/SUMIF(Measurement!$B:$B,B10,Measurement!$J:$J))</f>
        <v/>
      </c>
      <c r="K10">
        <f>IFERROR(VLOOKUP(B10,Environments!$A$5:$K$50,4,FALSE),0)</f>
        <v/>
      </c>
      <c r="L10">
        <f>IFERROR(VLOOKUP(B10,Environments!$A$5:$K$50,5,FALSE),0)</f>
        <v/>
      </c>
      <c r="M10">
        <f>IFERROR(VLOOKUP(B10,Environments!$A$5:$K$50,6,FALSE),0)</f>
        <v/>
      </c>
      <c r="N10">
        <f>IFERROR(VLOOKUP(B10,Environments!$A$5:$K$50,7,FALSE),0)</f>
        <v/>
      </c>
      <c r="O10">
        <f>IFERROR(VLOOKUP(B10,Environments!$A$5:$K$50,11,FALSE),0)</f>
        <v/>
      </c>
      <c r="P10">
        <f>(D10*K10+F10*L10+H10*M10+J10*N10)*Global!$B$5</f>
        <v/>
      </c>
      <c r="Q10">
        <f>IF(SUMIF(Measurement!$B:$B,B10,Measurement!$J:$J)=0,D10*O10,J10*O10)</f>
        <v/>
      </c>
      <c r="R10">
        <f>P10+Q10</f>
        <v/>
      </c>
      <c r="S10" t="n">
        <v>0</v>
      </c>
      <c r="T10">
        <f>R10+S10</f>
        <v/>
      </c>
      <c r="U10">
        <f>T10*12</f>
        <v/>
      </c>
    </row>
    <row r="11">
      <c r="A11">
        <f>Measurement!A9</f>
        <v/>
      </c>
      <c r="B11">
        <f>Measurement!B9</f>
        <v/>
      </c>
      <c r="C11">
        <f>Measurement!G9</f>
        <v/>
      </c>
      <c r="D11">
        <f>IF(SUMIF(Measurement!$B:$B,B11,Measurement!$G:$G)=0,0,C11/SUMIF(Measurement!$B:$B,B11,Measurement!$G:$G))</f>
        <v/>
      </c>
      <c r="E11">
        <f>Measurement!H9</f>
        <v/>
      </c>
      <c r="F11">
        <f>IF(SUMIF(Measurement!$B:$B,B11,Measurement!$H:$H)=0,0,E11/SUMIF(Measurement!$B:$B,B11,Measurement!$H:$H))</f>
        <v/>
      </c>
      <c r="G11">
        <f>Measurement!I9</f>
        <v/>
      </c>
      <c r="H11">
        <f>IF(SUMIF(Measurement!$B:$B,B11,Measurement!$I:$I)=0,0,G11/SUMIF(Measurement!$B:$B,B11,Measurement!$I:$I))</f>
        <v/>
      </c>
      <c r="I11">
        <f>Measurement!J9</f>
        <v/>
      </c>
      <c r="J11">
        <f>IF(SUMIF(Measurement!$B:$B,B11,Measurement!$J:$J)=0,0,I11/SUMIF(Measurement!$B:$B,B11,Measurement!$J:$J))</f>
        <v/>
      </c>
      <c r="K11">
        <f>IFERROR(VLOOKUP(B11,Environments!$A$5:$K$50,4,FALSE),0)</f>
        <v/>
      </c>
      <c r="L11">
        <f>IFERROR(VLOOKUP(B11,Environments!$A$5:$K$50,5,FALSE),0)</f>
        <v/>
      </c>
      <c r="M11">
        <f>IFERROR(VLOOKUP(B11,Environments!$A$5:$K$50,6,FALSE),0)</f>
        <v/>
      </c>
      <c r="N11">
        <f>IFERROR(VLOOKUP(B11,Environments!$A$5:$K$50,7,FALSE),0)</f>
        <v/>
      </c>
      <c r="O11">
        <f>IFERROR(VLOOKUP(B11,Environments!$A$5:$K$50,11,FALSE),0)</f>
        <v/>
      </c>
      <c r="P11">
        <f>(D11*K11+F11*L11+H11*M11+J11*N11)*Global!$B$5</f>
        <v/>
      </c>
      <c r="Q11">
        <f>IF(SUMIF(Measurement!$B:$B,B11,Measurement!$J:$J)=0,D11*O11,J11*O11)</f>
        <v/>
      </c>
      <c r="R11">
        <f>P11+Q11</f>
        <v/>
      </c>
      <c r="S11" t="n">
        <v>0</v>
      </c>
      <c r="T11">
        <f>R11+S11</f>
        <v/>
      </c>
      <c r="U11">
        <f>T11*12</f>
        <v/>
      </c>
    </row>
    <row r="12">
      <c r="A12">
        <f>Measurement!A10</f>
        <v/>
      </c>
      <c r="B12">
        <f>Measurement!B10</f>
        <v/>
      </c>
      <c r="C12">
        <f>Measurement!G10</f>
        <v/>
      </c>
      <c r="D12">
        <f>IF(SUMIF(Measurement!$B:$B,B12,Measurement!$G:$G)=0,0,C12/SUMIF(Measurement!$B:$B,B12,Measurement!$G:$G))</f>
        <v/>
      </c>
      <c r="E12">
        <f>Measurement!H10</f>
        <v/>
      </c>
      <c r="F12">
        <f>IF(SUMIF(Measurement!$B:$B,B12,Measurement!$H:$H)=0,0,E12/SUMIF(Measurement!$B:$B,B12,Measurement!$H:$H))</f>
        <v/>
      </c>
      <c r="G12">
        <f>Measurement!I10</f>
        <v/>
      </c>
      <c r="H12">
        <f>IF(SUMIF(Measurement!$B:$B,B12,Measurement!$I:$I)=0,0,G12/SUMIF(Measurement!$B:$B,B12,Measurement!$I:$I))</f>
        <v/>
      </c>
      <c r="I12">
        <f>Measurement!J10</f>
        <v/>
      </c>
      <c r="J12">
        <f>IF(SUMIF(Measurement!$B:$B,B12,Measurement!$J:$J)=0,0,I12/SUMIF(Measurement!$B:$B,B12,Measurement!$J:$J))</f>
        <v/>
      </c>
      <c r="K12">
        <f>IFERROR(VLOOKUP(B12,Environments!$A$5:$K$50,4,FALSE),0)</f>
        <v/>
      </c>
      <c r="L12">
        <f>IFERROR(VLOOKUP(B12,Environments!$A$5:$K$50,5,FALSE),0)</f>
        <v/>
      </c>
      <c r="M12">
        <f>IFERROR(VLOOKUP(B12,Environments!$A$5:$K$50,6,FALSE),0)</f>
        <v/>
      </c>
      <c r="N12">
        <f>IFERROR(VLOOKUP(B12,Environments!$A$5:$K$50,7,FALSE),0)</f>
        <v/>
      </c>
      <c r="O12">
        <f>IFERROR(VLOOKUP(B12,Environments!$A$5:$K$50,11,FALSE),0)</f>
        <v/>
      </c>
      <c r="P12">
        <f>(D12*K12+F12*L12+H12*M12+J12*N12)*Global!$B$5</f>
        <v/>
      </c>
      <c r="Q12">
        <f>IF(SUMIF(Measurement!$B:$B,B12,Measurement!$J:$J)=0,D12*O12,J12*O12)</f>
        <v/>
      </c>
      <c r="R12">
        <f>P12+Q12</f>
        <v/>
      </c>
      <c r="S12" t="n">
        <v>0</v>
      </c>
      <c r="T12">
        <f>R12+S12</f>
        <v/>
      </c>
      <c r="U12">
        <f>T12*12</f>
        <v/>
      </c>
    </row>
    <row r="13">
      <c r="A13">
        <f>Measurement!A11</f>
        <v/>
      </c>
      <c r="B13">
        <f>Measurement!B11</f>
        <v/>
      </c>
      <c r="C13">
        <f>Measurement!G11</f>
        <v/>
      </c>
      <c r="D13">
        <f>IF(SUMIF(Measurement!$B:$B,B13,Measurement!$G:$G)=0,0,C13/SUMIF(Measurement!$B:$B,B13,Measurement!$G:$G))</f>
        <v/>
      </c>
      <c r="E13">
        <f>Measurement!H11</f>
        <v/>
      </c>
      <c r="F13">
        <f>IF(SUMIF(Measurement!$B:$B,B13,Measurement!$H:$H)=0,0,E13/SUMIF(Measurement!$B:$B,B13,Measurement!$H:$H))</f>
        <v/>
      </c>
      <c r="G13">
        <f>Measurement!I11</f>
        <v/>
      </c>
      <c r="H13">
        <f>IF(SUMIF(Measurement!$B:$B,B13,Measurement!$I:$I)=0,0,G13/SUMIF(Measurement!$B:$B,B13,Measurement!$I:$I))</f>
        <v/>
      </c>
      <c r="I13">
        <f>Measurement!J11</f>
        <v/>
      </c>
      <c r="J13">
        <f>IF(SUMIF(Measurement!$B:$B,B13,Measurement!$J:$J)=0,0,I13/SUMIF(Measurement!$B:$B,B13,Measurement!$J:$J))</f>
        <v/>
      </c>
      <c r="K13">
        <f>IFERROR(VLOOKUP(B13,Environments!$A$5:$K$50,4,FALSE),0)</f>
        <v/>
      </c>
      <c r="L13">
        <f>IFERROR(VLOOKUP(B13,Environments!$A$5:$K$50,5,FALSE),0)</f>
        <v/>
      </c>
      <c r="M13">
        <f>IFERROR(VLOOKUP(B13,Environments!$A$5:$K$50,6,FALSE),0)</f>
        <v/>
      </c>
      <c r="N13">
        <f>IFERROR(VLOOKUP(B13,Environments!$A$5:$K$50,7,FALSE),0)</f>
        <v/>
      </c>
      <c r="O13">
        <f>IFERROR(VLOOKUP(B13,Environments!$A$5:$K$50,11,FALSE),0)</f>
        <v/>
      </c>
      <c r="P13">
        <f>(D13*K13+F13*L13+H13*M13+J13*N13)*Global!$B$5</f>
        <v/>
      </c>
      <c r="Q13">
        <f>IF(SUMIF(Measurement!$B:$B,B13,Measurement!$J:$J)=0,D13*O13,J13*O13)</f>
        <v/>
      </c>
      <c r="R13">
        <f>P13+Q13</f>
        <v/>
      </c>
      <c r="S13" t="n">
        <v>0</v>
      </c>
      <c r="T13">
        <f>R13+S13</f>
        <v/>
      </c>
      <c r="U13">
        <f>T13*12</f>
        <v/>
      </c>
    </row>
    <row r="14">
      <c r="A14">
        <f>Measurement!A12</f>
        <v/>
      </c>
      <c r="B14">
        <f>Measurement!B12</f>
        <v/>
      </c>
      <c r="C14">
        <f>Measurement!G12</f>
        <v/>
      </c>
      <c r="D14">
        <f>IF(SUMIF(Measurement!$B:$B,B14,Measurement!$G:$G)=0,0,C14/SUMIF(Measurement!$B:$B,B14,Measurement!$G:$G))</f>
        <v/>
      </c>
      <c r="E14">
        <f>Measurement!H12</f>
        <v/>
      </c>
      <c r="F14">
        <f>IF(SUMIF(Measurement!$B:$B,B14,Measurement!$H:$H)=0,0,E14/SUMIF(Measurement!$B:$B,B14,Measurement!$H:$H))</f>
        <v/>
      </c>
      <c r="G14">
        <f>Measurement!I12</f>
        <v/>
      </c>
      <c r="H14">
        <f>IF(SUMIF(Measurement!$B:$B,B14,Measurement!$I:$I)=0,0,G14/SUMIF(Measurement!$B:$B,B14,Measurement!$I:$I))</f>
        <v/>
      </c>
      <c r="I14">
        <f>Measurement!J12</f>
        <v/>
      </c>
      <c r="J14">
        <f>IF(SUMIF(Measurement!$B:$B,B14,Measurement!$J:$J)=0,0,I14/SUMIF(Measurement!$B:$B,B14,Measurement!$J:$J))</f>
        <v/>
      </c>
      <c r="K14">
        <f>IFERROR(VLOOKUP(B14,Environments!$A$5:$K$50,4,FALSE),0)</f>
        <v/>
      </c>
      <c r="L14">
        <f>IFERROR(VLOOKUP(B14,Environments!$A$5:$K$50,5,FALSE),0)</f>
        <v/>
      </c>
      <c r="M14">
        <f>IFERROR(VLOOKUP(B14,Environments!$A$5:$K$50,6,FALSE),0)</f>
        <v/>
      </c>
      <c r="N14">
        <f>IFERROR(VLOOKUP(B14,Environments!$A$5:$K$50,7,FALSE),0)</f>
        <v/>
      </c>
      <c r="O14">
        <f>IFERROR(VLOOKUP(B14,Environments!$A$5:$K$50,11,FALSE),0)</f>
        <v/>
      </c>
      <c r="P14">
        <f>(D14*K14+F14*L14+H14*M14+J14*N14)*Global!$B$5</f>
        <v/>
      </c>
      <c r="Q14">
        <f>IF(SUMIF(Measurement!$B:$B,B14,Measurement!$J:$J)=0,D14*O14,J14*O14)</f>
        <v/>
      </c>
      <c r="R14">
        <f>P14+Q14</f>
        <v/>
      </c>
      <c r="S14" t="n">
        <v>0</v>
      </c>
      <c r="T14">
        <f>R14+S14</f>
        <v/>
      </c>
      <c r="U14">
        <f>T14*12</f>
        <v/>
      </c>
    </row>
    <row r="15">
      <c r="A15">
        <f>Measurement!A13</f>
        <v/>
      </c>
      <c r="B15">
        <f>Measurement!B13</f>
        <v/>
      </c>
      <c r="C15">
        <f>Measurement!G13</f>
        <v/>
      </c>
      <c r="D15">
        <f>IF(SUMIF(Measurement!$B:$B,B15,Measurement!$G:$G)=0,0,C15/SUMIF(Measurement!$B:$B,B15,Measurement!$G:$G))</f>
        <v/>
      </c>
      <c r="E15">
        <f>Measurement!H13</f>
        <v/>
      </c>
      <c r="F15">
        <f>IF(SUMIF(Measurement!$B:$B,B15,Measurement!$H:$H)=0,0,E15/SUMIF(Measurement!$B:$B,B15,Measurement!$H:$H))</f>
        <v/>
      </c>
      <c r="G15">
        <f>Measurement!I13</f>
        <v/>
      </c>
      <c r="H15">
        <f>IF(SUMIF(Measurement!$B:$B,B15,Measurement!$I:$I)=0,0,G15/SUMIF(Measurement!$B:$B,B15,Measurement!$I:$I))</f>
        <v/>
      </c>
      <c r="I15">
        <f>Measurement!J13</f>
        <v/>
      </c>
      <c r="J15">
        <f>IF(SUMIF(Measurement!$B:$B,B15,Measurement!$J:$J)=0,0,I15/SUMIF(Measurement!$B:$B,B15,Measurement!$J:$J))</f>
        <v/>
      </c>
      <c r="K15">
        <f>IFERROR(VLOOKUP(B15,Environments!$A$5:$K$50,4,FALSE),0)</f>
        <v/>
      </c>
      <c r="L15">
        <f>IFERROR(VLOOKUP(B15,Environments!$A$5:$K$50,5,FALSE),0)</f>
        <v/>
      </c>
      <c r="M15">
        <f>IFERROR(VLOOKUP(B15,Environments!$A$5:$K$50,6,FALSE),0)</f>
        <v/>
      </c>
      <c r="N15">
        <f>IFERROR(VLOOKUP(B15,Environments!$A$5:$K$50,7,FALSE),0)</f>
        <v/>
      </c>
      <c r="O15">
        <f>IFERROR(VLOOKUP(B15,Environments!$A$5:$K$50,11,FALSE),0)</f>
        <v/>
      </c>
      <c r="P15">
        <f>(D15*K15+F15*L15+H15*M15+J15*N15)*Global!$B$5</f>
        <v/>
      </c>
      <c r="Q15">
        <f>IF(SUMIF(Measurement!$B:$B,B15,Measurement!$J:$J)=0,D15*O15,J15*O15)</f>
        <v/>
      </c>
      <c r="R15">
        <f>P15+Q15</f>
        <v/>
      </c>
      <c r="S15" t="n">
        <v>0</v>
      </c>
      <c r="T15">
        <f>R15+S15</f>
        <v/>
      </c>
      <c r="U15">
        <f>T15*12</f>
        <v/>
      </c>
    </row>
    <row r="16">
      <c r="A16">
        <f>Measurement!A14</f>
        <v/>
      </c>
      <c r="B16">
        <f>Measurement!B14</f>
        <v/>
      </c>
      <c r="C16">
        <f>Measurement!G14</f>
        <v/>
      </c>
      <c r="D16">
        <f>IF(SUMIF(Measurement!$B:$B,B16,Measurement!$G:$G)=0,0,C16/SUMIF(Measurement!$B:$B,B16,Measurement!$G:$G))</f>
        <v/>
      </c>
      <c r="E16">
        <f>Measurement!H14</f>
        <v/>
      </c>
      <c r="F16">
        <f>IF(SUMIF(Measurement!$B:$B,B16,Measurement!$H:$H)=0,0,E16/SUMIF(Measurement!$B:$B,B16,Measurement!$H:$H))</f>
        <v/>
      </c>
      <c r="G16">
        <f>Measurement!I14</f>
        <v/>
      </c>
      <c r="H16">
        <f>IF(SUMIF(Measurement!$B:$B,B16,Measurement!$I:$I)=0,0,G16/SUMIF(Measurement!$B:$B,B16,Measurement!$I:$I))</f>
        <v/>
      </c>
      <c r="I16">
        <f>Measurement!J14</f>
        <v/>
      </c>
      <c r="J16">
        <f>IF(SUMIF(Measurement!$B:$B,B16,Measurement!$J:$J)=0,0,I16/SUMIF(Measurement!$B:$B,B16,Measurement!$J:$J))</f>
        <v/>
      </c>
      <c r="K16">
        <f>IFERROR(VLOOKUP(B16,Environments!$A$5:$K$50,4,FALSE),0)</f>
        <v/>
      </c>
      <c r="L16">
        <f>IFERROR(VLOOKUP(B16,Environments!$A$5:$K$50,5,FALSE),0)</f>
        <v/>
      </c>
      <c r="M16">
        <f>IFERROR(VLOOKUP(B16,Environments!$A$5:$K$50,6,FALSE),0)</f>
        <v/>
      </c>
      <c r="N16">
        <f>IFERROR(VLOOKUP(B16,Environments!$A$5:$K$50,7,FALSE),0)</f>
        <v/>
      </c>
      <c r="O16">
        <f>IFERROR(VLOOKUP(B16,Environments!$A$5:$K$50,11,FALSE),0)</f>
        <v/>
      </c>
      <c r="P16">
        <f>(D16*K16+F16*L16+H16*M16+J16*N16)*Global!$B$5</f>
        <v/>
      </c>
      <c r="Q16">
        <f>IF(SUMIF(Measurement!$B:$B,B16,Measurement!$J:$J)=0,D16*O16,J16*O16)</f>
        <v/>
      </c>
      <c r="R16">
        <f>P16+Q16</f>
        <v/>
      </c>
      <c r="S16" t="n">
        <v>0</v>
      </c>
      <c r="T16">
        <f>R16+S16</f>
        <v/>
      </c>
      <c r="U16">
        <f>T16*12</f>
        <v/>
      </c>
    </row>
    <row r="17">
      <c r="A17">
        <f>Measurement!A15</f>
        <v/>
      </c>
      <c r="B17">
        <f>Measurement!B15</f>
        <v/>
      </c>
      <c r="C17">
        <f>Measurement!G15</f>
        <v/>
      </c>
      <c r="D17">
        <f>IF(SUMIF(Measurement!$B:$B,B17,Measurement!$G:$G)=0,0,C17/SUMIF(Measurement!$B:$B,B17,Measurement!$G:$G))</f>
        <v/>
      </c>
      <c r="E17">
        <f>Measurement!H15</f>
        <v/>
      </c>
      <c r="F17">
        <f>IF(SUMIF(Measurement!$B:$B,B17,Measurement!$H:$H)=0,0,E17/SUMIF(Measurement!$B:$B,B17,Measurement!$H:$H))</f>
        <v/>
      </c>
      <c r="G17">
        <f>Measurement!I15</f>
        <v/>
      </c>
      <c r="H17">
        <f>IF(SUMIF(Measurement!$B:$B,B17,Measurement!$I:$I)=0,0,G17/SUMIF(Measurement!$B:$B,B17,Measurement!$I:$I))</f>
        <v/>
      </c>
      <c r="I17">
        <f>Measurement!J15</f>
        <v/>
      </c>
      <c r="J17">
        <f>IF(SUMIF(Measurement!$B:$B,B17,Measurement!$J:$J)=0,0,I17/SUMIF(Measurement!$B:$B,B17,Measurement!$J:$J))</f>
        <v/>
      </c>
      <c r="K17">
        <f>IFERROR(VLOOKUP(B17,Environments!$A$5:$K$50,4,FALSE),0)</f>
        <v/>
      </c>
      <c r="L17">
        <f>IFERROR(VLOOKUP(B17,Environments!$A$5:$K$50,5,FALSE),0)</f>
        <v/>
      </c>
      <c r="M17">
        <f>IFERROR(VLOOKUP(B17,Environments!$A$5:$K$50,6,FALSE),0)</f>
        <v/>
      </c>
      <c r="N17">
        <f>IFERROR(VLOOKUP(B17,Environments!$A$5:$K$50,7,FALSE),0)</f>
        <v/>
      </c>
      <c r="O17">
        <f>IFERROR(VLOOKUP(B17,Environments!$A$5:$K$50,11,FALSE),0)</f>
        <v/>
      </c>
      <c r="P17">
        <f>(D17*K17+F17*L17+H17*M17+J17*N17)*Global!$B$5</f>
        <v/>
      </c>
      <c r="Q17">
        <f>IF(SUMIF(Measurement!$B:$B,B17,Measurement!$J:$J)=0,D17*O17,J17*O17)</f>
        <v/>
      </c>
      <c r="R17">
        <f>P17+Q17</f>
        <v/>
      </c>
      <c r="S17" t="n">
        <v>0</v>
      </c>
      <c r="T17">
        <f>R17+S17</f>
        <v/>
      </c>
      <c r="U17">
        <f>T17*12</f>
        <v/>
      </c>
    </row>
    <row r="18">
      <c r="A18">
        <f>Measurement!A16</f>
        <v/>
      </c>
      <c r="B18">
        <f>Measurement!B16</f>
        <v/>
      </c>
      <c r="C18">
        <f>Measurement!G16</f>
        <v/>
      </c>
      <c r="D18">
        <f>IF(SUMIF(Measurement!$B:$B,B18,Measurement!$G:$G)=0,0,C18/SUMIF(Measurement!$B:$B,B18,Measurement!$G:$G))</f>
        <v/>
      </c>
      <c r="E18">
        <f>Measurement!H16</f>
        <v/>
      </c>
      <c r="F18">
        <f>IF(SUMIF(Measurement!$B:$B,B18,Measurement!$H:$H)=0,0,E18/SUMIF(Measurement!$B:$B,B18,Measurement!$H:$H))</f>
        <v/>
      </c>
      <c r="G18">
        <f>Measurement!I16</f>
        <v/>
      </c>
      <c r="H18">
        <f>IF(SUMIF(Measurement!$B:$B,B18,Measurement!$I:$I)=0,0,G18/SUMIF(Measurement!$B:$B,B18,Measurement!$I:$I))</f>
        <v/>
      </c>
      <c r="I18">
        <f>Measurement!J16</f>
        <v/>
      </c>
      <c r="J18">
        <f>IF(SUMIF(Measurement!$B:$B,B18,Measurement!$J:$J)=0,0,I18/SUMIF(Measurement!$B:$B,B18,Measurement!$J:$J))</f>
        <v/>
      </c>
      <c r="K18">
        <f>IFERROR(VLOOKUP(B18,Environments!$A$5:$K$50,4,FALSE),0)</f>
        <v/>
      </c>
      <c r="L18">
        <f>IFERROR(VLOOKUP(B18,Environments!$A$5:$K$50,5,FALSE),0)</f>
        <v/>
      </c>
      <c r="M18">
        <f>IFERROR(VLOOKUP(B18,Environments!$A$5:$K$50,6,FALSE),0)</f>
        <v/>
      </c>
      <c r="N18">
        <f>IFERROR(VLOOKUP(B18,Environments!$A$5:$K$50,7,FALSE),0)</f>
        <v/>
      </c>
      <c r="O18">
        <f>IFERROR(VLOOKUP(B18,Environments!$A$5:$K$50,11,FALSE),0)</f>
        <v/>
      </c>
      <c r="P18">
        <f>(D18*K18+F18*L18+H18*M18+J18*N18)*Global!$B$5</f>
        <v/>
      </c>
      <c r="Q18">
        <f>IF(SUMIF(Measurement!$B:$B,B18,Measurement!$J:$J)=0,D18*O18,J18*O18)</f>
        <v/>
      </c>
      <c r="R18">
        <f>P18+Q18</f>
        <v/>
      </c>
      <c r="S18" t="n">
        <v>0</v>
      </c>
      <c r="T18">
        <f>R18+S18</f>
        <v/>
      </c>
      <c r="U18">
        <f>T18*12</f>
        <v/>
      </c>
    </row>
    <row r="19">
      <c r="A19">
        <f>Measurement!A17</f>
        <v/>
      </c>
      <c r="B19">
        <f>Measurement!B17</f>
        <v/>
      </c>
      <c r="C19">
        <f>Measurement!G17</f>
        <v/>
      </c>
      <c r="D19">
        <f>IF(SUMIF(Measurement!$B:$B,B19,Measurement!$G:$G)=0,0,C19/SUMIF(Measurement!$B:$B,B19,Measurement!$G:$G))</f>
        <v/>
      </c>
      <c r="E19">
        <f>Measurement!H17</f>
        <v/>
      </c>
      <c r="F19">
        <f>IF(SUMIF(Measurement!$B:$B,B19,Measurement!$H:$H)=0,0,E19/SUMIF(Measurement!$B:$B,B19,Measurement!$H:$H))</f>
        <v/>
      </c>
      <c r="G19">
        <f>Measurement!I17</f>
        <v/>
      </c>
      <c r="H19">
        <f>IF(SUMIF(Measurement!$B:$B,B19,Measurement!$I:$I)=0,0,G19/SUMIF(Measurement!$B:$B,B19,Measurement!$I:$I))</f>
        <v/>
      </c>
      <c r="I19">
        <f>Measurement!J17</f>
        <v/>
      </c>
      <c r="J19">
        <f>IF(SUMIF(Measurement!$B:$B,B19,Measurement!$J:$J)=0,0,I19/SUMIF(Measurement!$B:$B,B19,Measurement!$J:$J))</f>
        <v/>
      </c>
      <c r="K19">
        <f>IFERROR(VLOOKUP(B19,Environments!$A$5:$K$50,4,FALSE),0)</f>
        <v/>
      </c>
      <c r="L19">
        <f>IFERROR(VLOOKUP(B19,Environments!$A$5:$K$50,5,FALSE),0)</f>
        <v/>
      </c>
      <c r="M19">
        <f>IFERROR(VLOOKUP(B19,Environments!$A$5:$K$50,6,FALSE),0)</f>
        <v/>
      </c>
      <c r="N19">
        <f>IFERROR(VLOOKUP(B19,Environments!$A$5:$K$50,7,FALSE),0)</f>
        <v/>
      </c>
      <c r="O19">
        <f>IFERROR(VLOOKUP(B19,Environments!$A$5:$K$50,11,FALSE),0)</f>
        <v/>
      </c>
      <c r="P19">
        <f>(D19*K19+F19*L19+H19*M19+J19*N19)*Global!$B$5</f>
        <v/>
      </c>
      <c r="Q19">
        <f>IF(SUMIF(Measurement!$B:$B,B19,Measurement!$J:$J)=0,D19*O19,J19*O19)</f>
        <v/>
      </c>
      <c r="R19">
        <f>P19+Q19</f>
        <v/>
      </c>
      <c r="S19" t="n">
        <v>0</v>
      </c>
      <c r="T19">
        <f>R19+S19</f>
        <v/>
      </c>
      <c r="U19">
        <f>T19*12</f>
        <v/>
      </c>
    </row>
    <row r="20">
      <c r="A20">
        <f>Measurement!A18</f>
        <v/>
      </c>
      <c r="B20">
        <f>Measurement!B18</f>
        <v/>
      </c>
      <c r="C20">
        <f>Measurement!G18</f>
        <v/>
      </c>
      <c r="D20">
        <f>IF(SUMIF(Measurement!$B:$B,B20,Measurement!$G:$G)=0,0,C20/SUMIF(Measurement!$B:$B,B20,Measurement!$G:$G))</f>
        <v/>
      </c>
      <c r="E20">
        <f>Measurement!H18</f>
        <v/>
      </c>
      <c r="F20">
        <f>IF(SUMIF(Measurement!$B:$B,B20,Measurement!$H:$H)=0,0,E20/SUMIF(Measurement!$B:$B,B20,Measurement!$H:$H))</f>
        <v/>
      </c>
      <c r="G20">
        <f>Measurement!I18</f>
        <v/>
      </c>
      <c r="H20">
        <f>IF(SUMIF(Measurement!$B:$B,B20,Measurement!$I:$I)=0,0,G20/SUMIF(Measurement!$B:$B,B20,Measurement!$I:$I))</f>
        <v/>
      </c>
      <c r="I20">
        <f>Measurement!J18</f>
        <v/>
      </c>
      <c r="J20">
        <f>IF(SUMIF(Measurement!$B:$B,B20,Measurement!$J:$J)=0,0,I20/SUMIF(Measurement!$B:$B,B20,Measurement!$J:$J))</f>
        <v/>
      </c>
      <c r="K20">
        <f>IFERROR(VLOOKUP(B20,Environments!$A$5:$K$50,4,FALSE),0)</f>
        <v/>
      </c>
      <c r="L20">
        <f>IFERROR(VLOOKUP(B20,Environments!$A$5:$K$50,5,FALSE),0)</f>
        <v/>
      </c>
      <c r="M20">
        <f>IFERROR(VLOOKUP(B20,Environments!$A$5:$K$50,6,FALSE),0)</f>
        <v/>
      </c>
      <c r="N20">
        <f>IFERROR(VLOOKUP(B20,Environments!$A$5:$K$50,7,FALSE),0)</f>
        <v/>
      </c>
      <c r="O20">
        <f>IFERROR(VLOOKUP(B20,Environments!$A$5:$K$50,11,FALSE),0)</f>
        <v/>
      </c>
      <c r="P20">
        <f>(D20*K20+F20*L20+H20*M20+J20*N20)*Global!$B$5</f>
        <v/>
      </c>
      <c r="Q20">
        <f>IF(SUMIF(Measurement!$B:$B,B20,Measurement!$J:$J)=0,D20*O20,J20*O20)</f>
        <v/>
      </c>
      <c r="R20">
        <f>P20+Q20</f>
        <v/>
      </c>
      <c r="S20" t="n">
        <v>0</v>
      </c>
      <c r="T20">
        <f>R20+S20</f>
        <v/>
      </c>
      <c r="U20">
        <f>T20*12</f>
        <v/>
      </c>
    </row>
    <row r="21">
      <c r="A21">
        <f>Measurement!A19</f>
        <v/>
      </c>
      <c r="B21">
        <f>Measurement!B19</f>
        <v/>
      </c>
      <c r="C21">
        <f>Measurement!G19</f>
        <v/>
      </c>
      <c r="D21">
        <f>IF(SUMIF(Measurement!$B:$B,B21,Measurement!$G:$G)=0,0,C21/SUMIF(Measurement!$B:$B,B21,Measurement!$G:$G))</f>
        <v/>
      </c>
      <c r="E21">
        <f>Measurement!H19</f>
        <v/>
      </c>
      <c r="F21">
        <f>IF(SUMIF(Measurement!$B:$B,B21,Measurement!$H:$H)=0,0,E21/SUMIF(Measurement!$B:$B,B21,Measurement!$H:$H))</f>
        <v/>
      </c>
      <c r="G21">
        <f>Measurement!I19</f>
        <v/>
      </c>
      <c r="H21">
        <f>IF(SUMIF(Measurement!$B:$B,B21,Measurement!$I:$I)=0,0,G21/SUMIF(Measurement!$B:$B,B21,Measurement!$I:$I))</f>
        <v/>
      </c>
      <c r="I21">
        <f>Measurement!J19</f>
        <v/>
      </c>
      <c r="J21">
        <f>IF(SUMIF(Measurement!$B:$B,B21,Measurement!$J:$J)=0,0,I21/SUMIF(Measurement!$B:$B,B21,Measurement!$J:$J))</f>
        <v/>
      </c>
      <c r="K21">
        <f>IFERROR(VLOOKUP(B21,Environments!$A$5:$K$50,4,FALSE),0)</f>
        <v/>
      </c>
      <c r="L21">
        <f>IFERROR(VLOOKUP(B21,Environments!$A$5:$K$50,5,FALSE),0)</f>
        <v/>
      </c>
      <c r="M21">
        <f>IFERROR(VLOOKUP(B21,Environments!$A$5:$K$50,6,FALSE),0)</f>
        <v/>
      </c>
      <c r="N21">
        <f>IFERROR(VLOOKUP(B21,Environments!$A$5:$K$50,7,FALSE),0)</f>
        <v/>
      </c>
      <c r="O21">
        <f>IFERROR(VLOOKUP(B21,Environments!$A$5:$K$50,11,FALSE),0)</f>
        <v/>
      </c>
      <c r="P21">
        <f>(D21*K21+F21*L21+H21*M21+J21*N21)*Global!$B$5</f>
        <v/>
      </c>
      <c r="Q21">
        <f>IF(SUMIF(Measurement!$B:$B,B21,Measurement!$J:$J)=0,D21*O21,J21*O21)</f>
        <v/>
      </c>
      <c r="R21">
        <f>P21+Q21</f>
        <v/>
      </c>
      <c r="S21" t="n">
        <v>0</v>
      </c>
      <c r="T21">
        <f>R21+S21</f>
        <v/>
      </c>
      <c r="U21">
        <f>T21*12</f>
        <v/>
      </c>
    </row>
    <row r="22">
      <c r="A22">
        <f>Measurement!A20</f>
        <v/>
      </c>
      <c r="B22">
        <f>Measurement!B20</f>
        <v/>
      </c>
      <c r="C22">
        <f>Measurement!G20</f>
        <v/>
      </c>
      <c r="D22">
        <f>IF(SUMIF(Measurement!$B:$B,B22,Measurement!$G:$G)=0,0,C22/SUMIF(Measurement!$B:$B,B22,Measurement!$G:$G))</f>
        <v/>
      </c>
      <c r="E22">
        <f>Measurement!H20</f>
        <v/>
      </c>
      <c r="F22">
        <f>IF(SUMIF(Measurement!$B:$B,B22,Measurement!$H:$H)=0,0,E22/SUMIF(Measurement!$B:$B,B22,Measurement!$H:$H))</f>
        <v/>
      </c>
      <c r="G22">
        <f>Measurement!I20</f>
        <v/>
      </c>
      <c r="H22">
        <f>IF(SUMIF(Measurement!$B:$B,B22,Measurement!$I:$I)=0,0,G22/SUMIF(Measurement!$B:$B,B22,Measurement!$I:$I))</f>
        <v/>
      </c>
      <c r="I22">
        <f>Measurement!J20</f>
        <v/>
      </c>
      <c r="J22">
        <f>IF(SUMIF(Measurement!$B:$B,B22,Measurement!$J:$J)=0,0,I22/SUMIF(Measurement!$B:$B,B22,Measurement!$J:$J))</f>
        <v/>
      </c>
      <c r="K22">
        <f>IFERROR(VLOOKUP(B22,Environments!$A$5:$K$50,4,FALSE),0)</f>
        <v/>
      </c>
      <c r="L22">
        <f>IFERROR(VLOOKUP(B22,Environments!$A$5:$K$50,5,FALSE),0)</f>
        <v/>
      </c>
      <c r="M22">
        <f>IFERROR(VLOOKUP(B22,Environments!$A$5:$K$50,6,FALSE),0)</f>
        <v/>
      </c>
      <c r="N22">
        <f>IFERROR(VLOOKUP(B22,Environments!$A$5:$K$50,7,FALSE),0)</f>
        <v/>
      </c>
      <c r="O22">
        <f>IFERROR(VLOOKUP(B22,Environments!$A$5:$K$50,11,FALSE),0)</f>
        <v/>
      </c>
      <c r="P22">
        <f>(D22*K22+F22*L22+H22*M22+J22*N22)*Global!$B$5</f>
        <v/>
      </c>
      <c r="Q22">
        <f>IF(SUMIF(Measurement!$B:$B,B22,Measurement!$J:$J)=0,D22*O22,J22*O22)</f>
        <v/>
      </c>
      <c r="R22">
        <f>P22+Q22</f>
        <v/>
      </c>
      <c r="S22" t="n">
        <v>0</v>
      </c>
      <c r="T22">
        <f>R22+S22</f>
        <v/>
      </c>
      <c r="U22">
        <f>T22*12</f>
        <v/>
      </c>
    </row>
    <row r="23">
      <c r="A23">
        <f>Measurement!A21</f>
        <v/>
      </c>
      <c r="B23">
        <f>Measurement!B21</f>
        <v/>
      </c>
      <c r="C23">
        <f>Measurement!G21</f>
        <v/>
      </c>
      <c r="D23">
        <f>IF(SUMIF(Measurement!$B:$B,B23,Measurement!$G:$G)=0,0,C23/SUMIF(Measurement!$B:$B,B23,Measurement!$G:$G))</f>
        <v/>
      </c>
      <c r="E23">
        <f>Measurement!H21</f>
        <v/>
      </c>
      <c r="F23">
        <f>IF(SUMIF(Measurement!$B:$B,B23,Measurement!$H:$H)=0,0,E23/SUMIF(Measurement!$B:$B,B23,Measurement!$H:$H))</f>
        <v/>
      </c>
      <c r="G23">
        <f>Measurement!I21</f>
        <v/>
      </c>
      <c r="H23">
        <f>IF(SUMIF(Measurement!$B:$B,B23,Measurement!$I:$I)=0,0,G23/SUMIF(Measurement!$B:$B,B23,Measurement!$I:$I))</f>
        <v/>
      </c>
      <c r="I23">
        <f>Measurement!J21</f>
        <v/>
      </c>
      <c r="J23">
        <f>IF(SUMIF(Measurement!$B:$B,B23,Measurement!$J:$J)=0,0,I23/SUMIF(Measurement!$B:$B,B23,Measurement!$J:$J))</f>
        <v/>
      </c>
      <c r="K23">
        <f>IFERROR(VLOOKUP(B23,Environments!$A$5:$K$50,4,FALSE),0)</f>
        <v/>
      </c>
      <c r="L23">
        <f>IFERROR(VLOOKUP(B23,Environments!$A$5:$K$50,5,FALSE),0)</f>
        <v/>
      </c>
      <c r="M23">
        <f>IFERROR(VLOOKUP(B23,Environments!$A$5:$K$50,6,FALSE),0)</f>
        <v/>
      </c>
      <c r="N23">
        <f>IFERROR(VLOOKUP(B23,Environments!$A$5:$K$50,7,FALSE),0)</f>
        <v/>
      </c>
      <c r="O23">
        <f>IFERROR(VLOOKUP(B23,Environments!$A$5:$K$50,11,FALSE),0)</f>
        <v/>
      </c>
      <c r="P23">
        <f>(D23*K23+F23*L23+H23*M23+J23*N23)*Global!$B$5</f>
        <v/>
      </c>
      <c r="Q23">
        <f>IF(SUMIF(Measurement!$B:$B,B23,Measurement!$J:$J)=0,D23*O23,J23*O23)</f>
        <v/>
      </c>
      <c r="R23">
        <f>P23+Q23</f>
        <v/>
      </c>
      <c r="S23" t="n">
        <v>0</v>
      </c>
      <c r="T23">
        <f>R23+S23</f>
        <v/>
      </c>
      <c r="U23">
        <f>T23*12</f>
        <v/>
      </c>
    </row>
    <row r="24">
      <c r="A24">
        <f>Measurement!A22</f>
        <v/>
      </c>
      <c r="B24">
        <f>Measurement!B22</f>
        <v/>
      </c>
      <c r="C24">
        <f>Measurement!G22</f>
        <v/>
      </c>
      <c r="D24">
        <f>IF(SUMIF(Measurement!$B:$B,B24,Measurement!$G:$G)=0,0,C24/SUMIF(Measurement!$B:$B,B24,Measurement!$G:$G))</f>
        <v/>
      </c>
      <c r="E24">
        <f>Measurement!H22</f>
        <v/>
      </c>
      <c r="F24">
        <f>IF(SUMIF(Measurement!$B:$B,B24,Measurement!$H:$H)=0,0,E24/SUMIF(Measurement!$B:$B,B24,Measurement!$H:$H))</f>
        <v/>
      </c>
      <c r="G24">
        <f>Measurement!I22</f>
        <v/>
      </c>
      <c r="H24">
        <f>IF(SUMIF(Measurement!$B:$B,B24,Measurement!$I:$I)=0,0,G24/SUMIF(Measurement!$B:$B,B24,Measurement!$I:$I))</f>
        <v/>
      </c>
      <c r="I24">
        <f>Measurement!J22</f>
        <v/>
      </c>
      <c r="J24">
        <f>IF(SUMIF(Measurement!$B:$B,B24,Measurement!$J:$J)=0,0,I24/SUMIF(Measurement!$B:$B,B24,Measurement!$J:$J))</f>
        <v/>
      </c>
      <c r="K24">
        <f>IFERROR(VLOOKUP(B24,Environments!$A$5:$K$50,4,FALSE),0)</f>
        <v/>
      </c>
      <c r="L24">
        <f>IFERROR(VLOOKUP(B24,Environments!$A$5:$K$50,5,FALSE),0)</f>
        <v/>
      </c>
      <c r="M24">
        <f>IFERROR(VLOOKUP(B24,Environments!$A$5:$K$50,6,FALSE),0)</f>
        <v/>
      </c>
      <c r="N24">
        <f>IFERROR(VLOOKUP(B24,Environments!$A$5:$K$50,7,FALSE),0)</f>
        <v/>
      </c>
      <c r="O24">
        <f>IFERROR(VLOOKUP(B24,Environments!$A$5:$K$50,11,FALSE),0)</f>
        <v/>
      </c>
      <c r="P24">
        <f>(D24*K24+F24*L24+H24*M24+J24*N24)*Global!$B$5</f>
        <v/>
      </c>
      <c r="Q24">
        <f>IF(SUMIF(Measurement!$B:$B,B24,Measurement!$J:$J)=0,D24*O24,J24*O24)</f>
        <v/>
      </c>
      <c r="R24">
        <f>P24+Q24</f>
        <v/>
      </c>
      <c r="S24" t="n">
        <v>0</v>
      </c>
      <c r="T24">
        <f>R24+S24</f>
        <v/>
      </c>
      <c r="U24">
        <f>T24*12</f>
        <v/>
      </c>
    </row>
    <row r="25">
      <c r="A25">
        <f>Measurement!A23</f>
        <v/>
      </c>
      <c r="B25">
        <f>Measurement!B23</f>
        <v/>
      </c>
      <c r="C25">
        <f>Measurement!G23</f>
        <v/>
      </c>
      <c r="D25">
        <f>IF(SUMIF(Measurement!$B:$B,B25,Measurement!$G:$G)=0,0,C25/SUMIF(Measurement!$B:$B,B25,Measurement!$G:$G))</f>
        <v/>
      </c>
      <c r="E25">
        <f>Measurement!H23</f>
        <v/>
      </c>
      <c r="F25">
        <f>IF(SUMIF(Measurement!$B:$B,B25,Measurement!$H:$H)=0,0,E25/SUMIF(Measurement!$B:$B,B25,Measurement!$H:$H))</f>
        <v/>
      </c>
      <c r="G25">
        <f>Measurement!I23</f>
        <v/>
      </c>
      <c r="H25">
        <f>IF(SUMIF(Measurement!$B:$B,B25,Measurement!$I:$I)=0,0,G25/SUMIF(Measurement!$B:$B,B25,Measurement!$I:$I))</f>
        <v/>
      </c>
      <c r="I25">
        <f>Measurement!J23</f>
        <v/>
      </c>
      <c r="J25">
        <f>IF(SUMIF(Measurement!$B:$B,B25,Measurement!$J:$J)=0,0,I25/SUMIF(Measurement!$B:$B,B25,Measurement!$J:$J))</f>
        <v/>
      </c>
      <c r="K25">
        <f>IFERROR(VLOOKUP(B25,Environments!$A$5:$K$50,4,FALSE),0)</f>
        <v/>
      </c>
      <c r="L25">
        <f>IFERROR(VLOOKUP(B25,Environments!$A$5:$K$50,5,FALSE),0)</f>
        <v/>
      </c>
      <c r="M25">
        <f>IFERROR(VLOOKUP(B25,Environments!$A$5:$K$50,6,FALSE),0)</f>
        <v/>
      </c>
      <c r="N25">
        <f>IFERROR(VLOOKUP(B25,Environments!$A$5:$K$50,7,FALSE),0)</f>
        <v/>
      </c>
      <c r="O25">
        <f>IFERROR(VLOOKUP(B25,Environments!$A$5:$K$50,11,FALSE),0)</f>
        <v/>
      </c>
      <c r="P25">
        <f>(D25*K25+F25*L25+H25*M25+J25*N25)*Global!$B$5</f>
        <v/>
      </c>
      <c r="Q25">
        <f>IF(SUMIF(Measurement!$B:$B,B25,Measurement!$J:$J)=0,D25*O25,J25*O25)</f>
        <v/>
      </c>
      <c r="R25">
        <f>P25+Q25</f>
        <v/>
      </c>
      <c r="S25" t="n">
        <v>0</v>
      </c>
      <c r="T25">
        <f>R25+S25</f>
        <v/>
      </c>
      <c r="U25">
        <f>T25*12</f>
        <v/>
      </c>
    </row>
    <row r="26">
      <c r="A26">
        <f>Measurement!A24</f>
        <v/>
      </c>
      <c r="B26">
        <f>Measurement!B24</f>
        <v/>
      </c>
      <c r="C26">
        <f>Measurement!G24</f>
        <v/>
      </c>
      <c r="D26">
        <f>IF(SUMIF(Measurement!$B:$B,B26,Measurement!$G:$G)=0,0,C26/SUMIF(Measurement!$B:$B,B26,Measurement!$G:$G))</f>
        <v/>
      </c>
      <c r="E26">
        <f>Measurement!H24</f>
        <v/>
      </c>
      <c r="F26">
        <f>IF(SUMIF(Measurement!$B:$B,B26,Measurement!$H:$H)=0,0,E26/SUMIF(Measurement!$B:$B,B26,Measurement!$H:$H))</f>
        <v/>
      </c>
      <c r="G26">
        <f>Measurement!I24</f>
        <v/>
      </c>
      <c r="H26">
        <f>IF(SUMIF(Measurement!$B:$B,B26,Measurement!$I:$I)=0,0,G26/SUMIF(Measurement!$B:$B,B26,Measurement!$I:$I))</f>
        <v/>
      </c>
      <c r="I26">
        <f>Measurement!J24</f>
        <v/>
      </c>
      <c r="J26">
        <f>IF(SUMIF(Measurement!$B:$B,B26,Measurement!$J:$J)=0,0,I26/SUMIF(Measurement!$B:$B,B26,Measurement!$J:$J))</f>
        <v/>
      </c>
      <c r="K26">
        <f>IFERROR(VLOOKUP(B26,Environments!$A$5:$K$50,4,FALSE),0)</f>
        <v/>
      </c>
      <c r="L26">
        <f>IFERROR(VLOOKUP(B26,Environments!$A$5:$K$50,5,FALSE),0)</f>
        <v/>
      </c>
      <c r="M26">
        <f>IFERROR(VLOOKUP(B26,Environments!$A$5:$K$50,6,FALSE),0)</f>
        <v/>
      </c>
      <c r="N26">
        <f>IFERROR(VLOOKUP(B26,Environments!$A$5:$K$50,7,FALSE),0)</f>
        <v/>
      </c>
      <c r="O26">
        <f>IFERROR(VLOOKUP(B26,Environments!$A$5:$K$50,11,FALSE),0)</f>
        <v/>
      </c>
      <c r="P26">
        <f>(D26*K26+F26*L26+H26*M26+J26*N26)*Global!$B$5</f>
        <v/>
      </c>
      <c r="Q26">
        <f>IF(SUMIF(Measurement!$B:$B,B26,Measurement!$J:$J)=0,D26*O26,J26*O26)</f>
        <v/>
      </c>
      <c r="R26">
        <f>P26+Q26</f>
        <v/>
      </c>
      <c r="S26" t="n">
        <v>0</v>
      </c>
      <c r="T26">
        <f>R26+S26</f>
        <v/>
      </c>
      <c r="U26">
        <f>T26*12</f>
        <v/>
      </c>
    </row>
    <row r="27">
      <c r="A27">
        <f>Measurement!A25</f>
        <v/>
      </c>
      <c r="B27">
        <f>Measurement!B25</f>
        <v/>
      </c>
      <c r="C27">
        <f>Measurement!G25</f>
        <v/>
      </c>
      <c r="D27">
        <f>IF(SUMIF(Measurement!$B:$B,B27,Measurement!$G:$G)=0,0,C27/SUMIF(Measurement!$B:$B,B27,Measurement!$G:$G))</f>
        <v/>
      </c>
      <c r="E27">
        <f>Measurement!H25</f>
        <v/>
      </c>
      <c r="F27">
        <f>IF(SUMIF(Measurement!$B:$B,B27,Measurement!$H:$H)=0,0,E27/SUMIF(Measurement!$B:$B,B27,Measurement!$H:$H))</f>
        <v/>
      </c>
      <c r="G27">
        <f>Measurement!I25</f>
        <v/>
      </c>
      <c r="H27">
        <f>IF(SUMIF(Measurement!$B:$B,B27,Measurement!$I:$I)=0,0,G27/SUMIF(Measurement!$B:$B,B27,Measurement!$I:$I))</f>
        <v/>
      </c>
      <c r="I27">
        <f>Measurement!J25</f>
        <v/>
      </c>
      <c r="J27">
        <f>IF(SUMIF(Measurement!$B:$B,B27,Measurement!$J:$J)=0,0,I27/SUMIF(Measurement!$B:$B,B27,Measurement!$J:$J))</f>
        <v/>
      </c>
      <c r="K27">
        <f>IFERROR(VLOOKUP(B27,Environments!$A$5:$K$50,4,FALSE),0)</f>
        <v/>
      </c>
      <c r="L27">
        <f>IFERROR(VLOOKUP(B27,Environments!$A$5:$K$50,5,FALSE),0)</f>
        <v/>
      </c>
      <c r="M27">
        <f>IFERROR(VLOOKUP(B27,Environments!$A$5:$K$50,6,FALSE),0)</f>
        <v/>
      </c>
      <c r="N27">
        <f>IFERROR(VLOOKUP(B27,Environments!$A$5:$K$50,7,FALSE),0)</f>
        <v/>
      </c>
      <c r="O27">
        <f>IFERROR(VLOOKUP(B27,Environments!$A$5:$K$50,11,FALSE),0)</f>
        <v/>
      </c>
      <c r="P27">
        <f>(D27*K27+F27*L27+H27*M27+J27*N27)*Global!$B$5</f>
        <v/>
      </c>
      <c r="Q27">
        <f>IF(SUMIF(Measurement!$B:$B,B27,Measurement!$J:$J)=0,D27*O27,J27*O27)</f>
        <v/>
      </c>
      <c r="R27">
        <f>P27+Q27</f>
        <v/>
      </c>
      <c r="S27" t="n">
        <v>0</v>
      </c>
      <c r="T27">
        <f>R27+S27</f>
        <v/>
      </c>
      <c r="U27">
        <f>T27*12</f>
        <v/>
      </c>
    </row>
    <row r="28">
      <c r="A28">
        <f>Measurement!A26</f>
        <v/>
      </c>
      <c r="B28">
        <f>Measurement!B26</f>
        <v/>
      </c>
      <c r="C28">
        <f>Measurement!G26</f>
        <v/>
      </c>
      <c r="D28">
        <f>IF(SUMIF(Measurement!$B:$B,B28,Measurement!$G:$G)=0,0,C28/SUMIF(Measurement!$B:$B,B28,Measurement!$G:$G))</f>
        <v/>
      </c>
      <c r="E28">
        <f>Measurement!H26</f>
        <v/>
      </c>
      <c r="F28">
        <f>IF(SUMIF(Measurement!$B:$B,B28,Measurement!$H:$H)=0,0,E28/SUMIF(Measurement!$B:$B,B28,Measurement!$H:$H))</f>
        <v/>
      </c>
      <c r="G28">
        <f>Measurement!I26</f>
        <v/>
      </c>
      <c r="H28">
        <f>IF(SUMIF(Measurement!$B:$B,B28,Measurement!$I:$I)=0,0,G28/SUMIF(Measurement!$B:$B,B28,Measurement!$I:$I))</f>
        <v/>
      </c>
      <c r="I28">
        <f>Measurement!J26</f>
        <v/>
      </c>
      <c r="J28">
        <f>IF(SUMIF(Measurement!$B:$B,B28,Measurement!$J:$J)=0,0,I28/SUMIF(Measurement!$B:$B,B28,Measurement!$J:$J))</f>
        <v/>
      </c>
      <c r="K28">
        <f>IFERROR(VLOOKUP(B28,Environments!$A$5:$K$50,4,FALSE),0)</f>
        <v/>
      </c>
      <c r="L28">
        <f>IFERROR(VLOOKUP(B28,Environments!$A$5:$K$50,5,FALSE),0)</f>
        <v/>
      </c>
      <c r="M28">
        <f>IFERROR(VLOOKUP(B28,Environments!$A$5:$K$50,6,FALSE),0)</f>
        <v/>
      </c>
      <c r="N28">
        <f>IFERROR(VLOOKUP(B28,Environments!$A$5:$K$50,7,FALSE),0)</f>
        <v/>
      </c>
      <c r="O28">
        <f>IFERROR(VLOOKUP(B28,Environments!$A$5:$K$50,11,FALSE),0)</f>
        <v/>
      </c>
      <c r="P28">
        <f>(D28*K28+F28*L28+H28*M28+J28*N28)*Global!$B$5</f>
        <v/>
      </c>
      <c r="Q28">
        <f>IF(SUMIF(Measurement!$B:$B,B28,Measurement!$J:$J)=0,D28*O28,J28*O28)</f>
        <v/>
      </c>
      <c r="R28">
        <f>P28+Q28</f>
        <v/>
      </c>
      <c r="S28" t="n">
        <v>0</v>
      </c>
      <c r="T28">
        <f>R28+S28</f>
        <v/>
      </c>
      <c r="U28">
        <f>T28*12</f>
        <v/>
      </c>
    </row>
    <row r="29">
      <c r="A29">
        <f>Measurement!A27</f>
        <v/>
      </c>
      <c r="B29">
        <f>Measurement!B27</f>
        <v/>
      </c>
      <c r="C29">
        <f>Measurement!G27</f>
        <v/>
      </c>
      <c r="D29">
        <f>IF(SUMIF(Measurement!$B:$B,B29,Measurement!$G:$G)=0,0,C29/SUMIF(Measurement!$B:$B,B29,Measurement!$G:$G))</f>
        <v/>
      </c>
      <c r="E29">
        <f>Measurement!H27</f>
        <v/>
      </c>
      <c r="F29">
        <f>IF(SUMIF(Measurement!$B:$B,B29,Measurement!$H:$H)=0,0,E29/SUMIF(Measurement!$B:$B,B29,Measurement!$H:$H))</f>
        <v/>
      </c>
      <c r="G29">
        <f>Measurement!I27</f>
        <v/>
      </c>
      <c r="H29">
        <f>IF(SUMIF(Measurement!$B:$B,B29,Measurement!$I:$I)=0,0,G29/SUMIF(Measurement!$B:$B,B29,Measurement!$I:$I))</f>
        <v/>
      </c>
      <c r="I29">
        <f>Measurement!J27</f>
        <v/>
      </c>
      <c r="J29">
        <f>IF(SUMIF(Measurement!$B:$B,B29,Measurement!$J:$J)=0,0,I29/SUMIF(Measurement!$B:$B,B29,Measurement!$J:$J))</f>
        <v/>
      </c>
      <c r="K29">
        <f>IFERROR(VLOOKUP(B29,Environments!$A$5:$K$50,4,FALSE),0)</f>
        <v/>
      </c>
      <c r="L29">
        <f>IFERROR(VLOOKUP(B29,Environments!$A$5:$K$50,5,FALSE),0)</f>
        <v/>
      </c>
      <c r="M29">
        <f>IFERROR(VLOOKUP(B29,Environments!$A$5:$K$50,6,FALSE),0)</f>
        <v/>
      </c>
      <c r="N29">
        <f>IFERROR(VLOOKUP(B29,Environments!$A$5:$K$50,7,FALSE),0)</f>
        <v/>
      </c>
      <c r="O29">
        <f>IFERROR(VLOOKUP(B29,Environments!$A$5:$K$50,11,FALSE),0)</f>
        <v/>
      </c>
      <c r="P29">
        <f>(D29*K29+F29*L29+H29*M29+J29*N29)*Global!$B$5</f>
        <v/>
      </c>
      <c r="Q29">
        <f>IF(SUMIF(Measurement!$B:$B,B29,Measurement!$J:$J)=0,D29*O29,J29*O29)</f>
        <v/>
      </c>
      <c r="R29">
        <f>P29+Q29</f>
        <v/>
      </c>
      <c r="S29" t="n">
        <v>0</v>
      </c>
      <c r="T29">
        <f>R29+S29</f>
        <v/>
      </c>
      <c r="U29">
        <f>T29*12</f>
        <v/>
      </c>
    </row>
    <row r="30">
      <c r="A30">
        <f>Measurement!A28</f>
        <v/>
      </c>
      <c r="B30">
        <f>Measurement!B28</f>
        <v/>
      </c>
      <c r="C30">
        <f>Measurement!G28</f>
        <v/>
      </c>
      <c r="D30">
        <f>IF(SUMIF(Measurement!$B:$B,B30,Measurement!$G:$G)=0,0,C30/SUMIF(Measurement!$B:$B,B30,Measurement!$G:$G))</f>
        <v/>
      </c>
      <c r="E30">
        <f>Measurement!H28</f>
        <v/>
      </c>
      <c r="F30">
        <f>IF(SUMIF(Measurement!$B:$B,B30,Measurement!$H:$H)=0,0,E30/SUMIF(Measurement!$B:$B,B30,Measurement!$H:$H))</f>
        <v/>
      </c>
      <c r="G30">
        <f>Measurement!I28</f>
        <v/>
      </c>
      <c r="H30">
        <f>IF(SUMIF(Measurement!$B:$B,B30,Measurement!$I:$I)=0,0,G30/SUMIF(Measurement!$B:$B,B30,Measurement!$I:$I))</f>
        <v/>
      </c>
      <c r="I30">
        <f>Measurement!J28</f>
        <v/>
      </c>
      <c r="J30">
        <f>IF(SUMIF(Measurement!$B:$B,B30,Measurement!$J:$J)=0,0,I30/SUMIF(Measurement!$B:$B,B30,Measurement!$J:$J))</f>
        <v/>
      </c>
      <c r="K30">
        <f>IFERROR(VLOOKUP(B30,Environments!$A$5:$K$50,4,FALSE),0)</f>
        <v/>
      </c>
      <c r="L30">
        <f>IFERROR(VLOOKUP(B30,Environments!$A$5:$K$50,5,FALSE),0)</f>
        <v/>
      </c>
      <c r="M30">
        <f>IFERROR(VLOOKUP(B30,Environments!$A$5:$K$50,6,FALSE),0)</f>
        <v/>
      </c>
      <c r="N30">
        <f>IFERROR(VLOOKUP(B30,Environments!$A$5:$K$50,7,FALSE),0)</f>
        <v/>
      </c>
      <c r="O30">
        <f>IFERROR(VLOOKUP(B30,Environments!$A$5:$K$50,11,FALSE),0)</f>
        <v/>
      </c>
      <c r="P30">
        <f>(D30*K30+F30*L30+H30*M30+J30*N30)*Global!$B$5</f>
        <v/>
      </c>
      <c r="Q30">
        <f>IF(SUMIF(Measurement!$B:$B,B30,Measurement!$J:$J)=0,D30*O30,J30*O30)</f>
        <v/>
      </c>
      <c r="R30">
        <f>P30+Q30</f>
        <v/>
      </c>
      <c r="S30" t="n">
        <v>0</v>
      </c>
      <c r="T30">
        <f>R30+S30</f>
        <v/>
      </c>
      <c r="U30">
        <f>T30*12</f>
        <v/>
      </c>
    </row>
    <row r="31">
      <c r="A31">
        <f>Measurement!A29</f>
        <v/>
      </c>
      <c r="B31">
        <f>Measurement!B29</f>
        <v/>
      </c>
      <c r="C31">
        <f>Measurement!G29</f>
        <v/>
      </c>
      <c r="D31">
        <f>IF(SUMIF(Measurement!$B:$B,B31,Measurement!$G:$G)=0,0,C31/SUMIF(Measurement!$B:$B,B31,Measurement!$G:$G))</f>
        <v/>
      </c>
      <c r="E31">
        <f>Measurement!H29</f>
        <v/>
      </c>
      <c r="F31">
        <f>IF(SUMIF(Measurement!$B:$B,B31,Measurement!$H:$H)=0,0,E31/SUMIF(Measurement!$B:$B,B31,Measurement!$H:$H))</f>
        <v/>
      </c>
      <c r="G31">
        <f>Measurement!I29</f>
        <v/>
      </c>
      <c r="H31">
        <f>IF(SUMIF(Measurement!$B:$B,B31,Measurement!$I:$I)=0,0,G31/SUMIF(Measurement!$B:$B,B31,Measurement!$I:$I))</f>
        <v/>
      </c>
      <c r="I31">
        <f>Measurement!J29</f>
        <v/>
      </c>
      <c r="J31">
        <f>IF(SUMIF(Measurement!$B:$B,B31,Measurement!$J:$J)=0,0,I31/SUMIF(Measurement!$B:$B,B31,Measurement!$J:$J))</f>
        <v/>
      </c>
      <c r="K31">
        <f>IFERROR(VLOOKUP(B31,Environments!$A$5:$K$50,4,FALSE),0)</f>
        <v/>
      </c>
      <c r="L31">
        <f>IFERROR(VLOOKUP(B31,Environments!$A$5:$K$50,5,FALSE),0)</f>
        <v/>
      </c>
      <c r="M31">
        <f>IFERROR(VLOOKUP(B31,Environments!$A$5:$K$50,6,FALSE),0)</f>
        <v/>
      </c>
      <c r="N31">
        <f>IFERROR(VLOOKUP(B31,Environments!$A$5:$K$50,7,FALSE),0)</f>
        <v/>
      </c>
      <c r="O31">
        <f>IFERROR(VLOOKUP(B31,Environments!$A$5:$K$50,11,FALSE),0)</f>
        <v/>
      </c>
      <c r="P31">
        <f>(D31*K31+F31*L31+H31*M31+J31*N31)*Global!$B$5</f>
        <v/>
      </c>
      <c r="Q31">
        <f>IF(SUMIF(Measurement!$B:$B,B31,Measurement!$J:$J)=0,D31*O31,J31*O31)</f>
        <v/>
      </c>
      <c r="R31">
        <f>P31+Q31</f>
        <v/>
      </c>
      <c r="S31" t="n">
        <v>0</v>
      </c>
      <c r="T31">
        <f>R31+S31</f>
        <v/>
      </c>
      <c r="U31">
        <f>T31*12</f>
        <v/>
      </c>
    </row>
    <row r="32">
      <c r="A32">
        <f>Measurement!A30</f>
        <v/>
      </c>
      <c r="B32">
        <f>Measurement!B30</f>
        <v/>
      </c>
      <c r="C32">
        <f>Measurement!G30</f>
        <v/>
      </c>
      <c r="D32">
        <f>IF(SUMIF(Measurement!$B:$B,B32,Measurement!$G:$G)=0,0,C32/SUMIF(Measurement!$B:$B,B32,Measurement!$G:$G))</f>
        <v/>
      </c>
      <c r="E32">
        <f>Measurement!H30</f>
        <v/>
      </c>
      <c r="F32">
        <f>IF(SUMIF(Measurement!$B:$B,B32,Measurement!$H:$H)=0,0,E32/SUMIF(Measurement!$B:$B,B32,Measurement!$H:$H))</f>
        <v/>
      </c>
      <c r="G32">
        <f>Measurement!I30</f>
        <v/>
      </c>
      <c r="H32">
        <f>IF(SUMIF(Measurement!$B:$B,B32,Measurement!$I:$I)=0,0,G32/SUMIF(Measurement!$B:$B,B32,Measurement!$I:$I))</f>
        <v/>
      </c>
      <c r="I32">
        <f>Measurement!J30</f>
        <v/>
      </c>
      <c r="J32">
        <f>IF(SUMIF(Measurement!$B:$B,B32,Measurement!$J:$J)=0,0,I32/SUMIF(Measurement!$B:$B,B32,Measurement!$J:$J))</f>
        <v/>
      </c>
      <c r="K32">
        <f>IFERROR(VLOOKUP(B32,Environments!$A$5:$K$50,4,FALSE),0)</f>
        <v/>
      </c>
      <c r="L32">
        <f>IFERROR(VLOOKUP(B32,Environments!$A$5:$K$50,5,FALSE),0)</f>
        <v/>
      </c>
      <c r="M32">
        <f>IFERROR(VLOOKUP(B32,Environments!$A$5:$K$50,6,FALSE),0)</f>
        <v/>
      </c>
      <c r="N32">
        <f>IFERROR(VLOOKUP(B32,Environments!$A$5:$K$50,7,FALSE),0)</f>
        <v/>
      </c>
      <c r="O32">
        <f>IFERROR(VLOOKUP(B32,Environments!$A$5:$K$50,11,FALSE),0)</f>
        <v/>
      </c>
      <c r="P32">
        <f>(D32*K32+F32*L32+H32*M32+J32*N32)*Global!$B$5</f>
        <v/>
      </c>
      <c r="Q32">
        <f>IF(SUMIF(Measurement!$B:$B,B32,Measurement!$J:$J)=0,D32*O32,J32*O32)</f>
        <v/>
      </c>
      <c r="R32">
        <f>P32+Q32</f>
        <v/>
      </c>
      <c r="S32" t="n">
        <v>0</v>
      </c>
      <c r="T32">
        <f>R32+S32</f>
        <v/>
      </c>
      <c r="U32">
        <f>T32*12</f>
        <v/>
      </c>
    </row>
    <row r="33">
      <c r="A33">
        <f>Measurement!A31</f>
        <v/>
      </c>
      <c r="B33">
        <f>Measurement!B31</f>
        <v/>
      </c>
      <c r="C33">
        <f>Measurement!G31</f>
        <v/>
      </c>
      <c r="D33">
        <f>IF(SUMIF(Measurement!$B:$B,B33,Measurement!$G:$G)=0,0,C33/SUMIF(Measurement!$B:$B,B33,Measurement!$G:$G))</f>
        <v/>
      </c>
      <c r="E33">
        <f>Measurement!H31</f>
        <v/>
      </c>
      <c r="F33">
        <f>IF(SUMIF(Measurement!$B:$B,B33,Measurement!$H:$H)=0,0,E33/SUMIF(Measurement!$B:$B,B33,Measurement!$H:$H))</f>
        <v/>
      </c>
      <c r="G33">
        <f>Measurement!I31</f>
        <v/>
      </c>
      <c r="H33">
        <f>IF(SUMIF(Measurement!$B:$B,B33,Measurement!$I:$I)=0,0,G33/SUMIF(Measurement!$B:$B,B33,Measurement!$I:$I))</f>
        <v/>
      </c>
      <c r="I33">
        <f>Measurement!J31</f>
        <v/>
      </c>
      <c r="J33">
        <f>IF(SUMIF(Measurement!$B:$B,B33,Measurement!$J:$J)=0,0,I33/SUMIF(Measurement!$B:$B,B33,Measurement!$J:$J))</f>
        <v/>
      </c>
      <c r="K33">
        <f>IFERROR(VLOOKUP(B33,Environments!$A$5:$K$50,4,FALSE),0)</f>
        <v/>
      </c>
      <c r="L33">
        <f>IFERROR(VLOOKUP(B33,Environments!$A$5:$K$50,5,FALSE),0)</f>
        <v/>
      </c>
      <c r="M33">
        <f>IFERROR(VLOOKUP(B33,Environments!$A$5:$K$50,6,FALSE),0)</f>
        <v/>
      </c>
      <c r="N33">
        <f>IFERROR(VLOOKUP(B33,Environments!$A$5:$K$50,7,FALSE),0)</f>
        <v/>
      </c>
      <c r="O33">
        <f>IFERROR(VLOOKUP(B33,Environments!$A$5:$K$50,11,FALSE),0)</f>
        <v/>
      </c>
      <c r="P33">
        <f>(D33*K33+F33*L33+H33*M33+J33*N33)*Global!$B$5</f>
        <v/>
      </c>
      <c r="Q33">
        <f>IF(SUMIF(Measurement!$B:$B,B33,Measurement!$J:$J)=0,D33*O33,J33*O33)</f>
        <v/>
      </c>
      <c r="R33">
        <f>P33+Q33</f>
        <v/>
      </c>
      <c r="S33" t="n">
        <v>0</v>
      </c>
      <c r="T33">
        <f>R33+S33</f>
        <v/>
      </c>
      <c r="U33">
        <f>T33*12</f>
        <v/>
      </c>
    </row>
    <row r="34">
      <c r="A34">
        <f>Measurement!A32</f>
        <v/>
      </c>
      <c r="B34">
        <f>Measurement!B32</f>
        <v/>
      </c>
      <c r="C34">
        <f>Measurement!G32</f>
        <v/>
      </c>
      <c r="D34">
        <f>IF(SUMIF(Measurement!$B:$B,B34,Measurement!$G:$G)=0,0,C34/SUMIF(Measurement!$B:$B,B34,Measurement!$G:$G))</f>
        <v/>
      </c>
      <c r="E34">
        <f>Measurement!H32</f>
        <v/>
      </c>
      <c r="F34">
        <f>IF(SUMIF(Measurement!$B:$B,B34,Measurement!$H:$H)=0,0,E34/SUMIF(Measurement!$B:$B,B34,Measurement!$H:$H))</f>
        <v/>
      </c>
      <c r="G34">
        <f>Measurement!I32</f>
        <v/>
      </c>
      <c r="H34">
        <f>IF(SUMIF(Measurement!$B:$B,B34,Measurement!$I:$I)=0,0,G34/SUMIF(Measurement!$B:$B,B34,Measurement!$I:$I))</f>
        <v/>
      </c>
      <c r="I34">
        <f>Measurement!J32</f>
        <v/>
      </c>
      <c r="J34">
        <f>IF(SUMIF(Measurement!$B:$B,B34,Measurement!$J:$J)=0,0,I34/SUMIF(Measurement!$B:$B,B34,Measurement!$J:$J))</f>
        <v/>
      </c>
      <c r="K34">
        <f>IFERROR(VLOOKUP(B34,Environments!$A$5:$K$50,4,FALSE),0)</f>
        <v/>
      </c>
      <c r="L34">
        <f>IFERROR(VLOOKUP(B34,Environments!$A$5:$K$50,5,FALSE),0)</f>
        <v/>
      </c>
      <c r="M34">
        <f>IFERROR(VLOOKUP(B34,Environments!$A$5:$K$50,6,FALSE),0)</f>
        <v/>
      </c>
      <c r="N34">
        <f>IFERROR(VLOOKUP(B34,Environments!$A$5:$K$50,7,FALSE),0)</f>
        <v/>
      </c>
      <c r="O34">
        <f>IFERROR(VLOOKUP(B34,Environments!$A$5:$K$50,11,FALSE),0)</f>
        <v/>
      </c>
      <c r="P34">
        <f>(D34*K34+F34*L34+H34*M34+J34*N34)*Global!$B$5</f>
        <v/>
      </c>
      <c r="Q34">
        <f>IF(SUMIF(Measurement!$B:$B,B34,Measurement!$J:$J)=0,D34*O34,J34*O34)</f>
        <v/>
      </c>
      <c r="R34">
        <f>P34+Q34</f>
        <v/>
      </c>
      <c r="S34" t="n">
        <v>0</v>
      </c>
      <c r="T34">
        <f>R34+S34</f>
        <v/>
      </c>
      <c r="U34">
        <f>T34*12</f>
        <v/>
      </c>
    </row>
    <row r="35">
      <c r="A35">
        <f>Measurement!A33</f>
        <v/>
      </c>
      <c r="B35">
        <f>Measurement!B33</f>
        <v/>
      </c>
      <c r="C35">
        <f>Measurement!G33</f>
        <v/>
      </c>
      <c r="D35">
        <f>IF(SUMIF(Measurement!$B:$B,B35,Measurement!$G:$G)=0,0,C35/SUMIF(Measurement!$B:$B,B35,Measurement!$G:$G))</f>
        <v/>
      </c>
      <c r="E35">
        <f>Measurement!H33</f>
        <v/>
      </c>
      <c r="F35">
        <f>IF(SUMIF(Measurement!$B:$B,B35,Measurement!$H:$H)=0,0,E35/SUMIF(Measurement!$B:$B,B35,Measurement!$H:$H))</f>
        <v/>
      </c>
      <c r="G35">
        <f>Measurement!I33</f>
        <v/>
      </c>
      <c r="H35">
        <f>IF(SUMIF(Measurement!$B:$B,B35,Measurement!$I:$I)=0,0,G35/SUMIF(Measurement!$B:$B,B35,Measurement!$I:$I))</f>
        <v/>
      </c>
      <c r="I35">
        <f>Measurement!J33</f>
        <v/>
      </c>
      <c r="J35">
        <f>IF(SUMIF(Measurement!$B:$B,B35,Measurement!$J:$J)=0,0,I35/SUMIF(Measurement!$B:$B,B35,Measurement!$J:$J))</f>
        <v/>
      </c>
      <c r="K35">
        <f>IFERROR(VLOOKUP(B35,Environments!$A$5:$K$50,4,FALSE),0)</f>
        <v/>
      </c>
      <c r="L35">
        <f>IFERROR(VLOOKUP(B35,Environments!$A$5:$K$50,5,FALSE),0)</f>
        <v/>
      </c>
      <c r="M35">
        <f>IFERROR(VLOOKUP(B35,Environments!$A$5:$K$50,6,FALSE),0)</f>
        <v/>
      </c>
      <c r="N35">
        <f>IFERROR(VLOOKUP(B35,Environments!$A$5:$K$50,7,FALSE),0)</f>
        <v/>
      </c>
      <c r="O35">
        <f>IFERROR(VLOOKUP(B35,Environments!$A$5:$K$50,11,FALSE),0)</f>
        <v/>
      </c>
      <c r="P35">
        <f>(D35*K35+F35*L35+H35*M35+J35*N35)*Global!$B$5</f>
        <v/>
      </c>
      <c r="Q35">
        <f>IF(SUMIF(Measurement!$B:$B,B35,Measurement!$J:$J)=0,D35*O35,J35*O35)</f>
        <v/>
      </c>
      <c r="R35">
        <f>P35+Q35</f>
        <v/>
      </c>
      <c r="S35" t="n">
        <v>0</v>
      </c>
      <c r="T35">
        <f>R35+S35</f>
        <v/>
      </c>
      <c r="U35">
        <f>T35*12</f>
        <v/>
      </c>
    </row>
    <row r="36">
      <c r="A36">
        <f>Measurement!A34</f>
        <v/>
      </c>
      <c r="B36">
        <f>Measurement!B34</f>
        <v/>
      </c>
      <c r="C36">
        <f>Measurement!G34</f>
        <v/>
      </c>
      <c r="D36">
        <f>IF(SUMIF(Measurement!$B:$B,B36,Measurement!$G:$G)=0,0,C36/SUMIF(Measurement!$B:$B,B36,Measurement!$G:$G))</f>
        <v/>
      </c>
      <c r="E36">
        <f>Measurement!H34</f>
        <v/>
      </c>
      <c r="F36">
        <f>IF(SUMIF(Measurement!$B:$B,B36,Measurement!$H:$H)=0,0,E36/SUMIF(Measurement!$B:$B,B36,Measurement!$H:$H))</f>
        <v/>
      </c>
      <c r="G36">
        <f>Measurement!I34</f>
        <v/>
      </c>
      <c r="H36">
        <f>IF(SUMIF(Measurement!$B:$B,B36,Measurement!$I:$I)=0,0,G36/SUMIF(Measurement!$B:$B,B36,Measurement!$I:$I))</f>
        <v/>
      </c>
      <c r="I36">
        <f>Measurement!J34</f>
        <v/>
      </c>
      <c r="J36">
        <f>IF(SUMIF(Measurement!$B:$B,B36,Measurement!$J:$J)=0,0,I36/SUMIF(Measurement!$B:$B,B36,Measurement!$J:$J))</f>
        <v/>
      </c>
      <c r="K36">
        <f>IFERROR(VLOOKUP(B36,Environments!$A$5:$K$50,4,FALSE),0)</f>
        <v/>
      </c>
      <c r="L36">
        <f>IFERROR(VLOOKUP(B36,Environments!$A$5:$K$50,5,FALSE),0)</f>
        <v/>
      </c>
      <c r="M36">
        <f>IFERROR(VLOOKUP(B36,Environments!$A$5:$K$50,6,FALSE),0)</f>
        <v/>
      </c>
      <c r="N36">
        <f>IFERROR(VLOOKUP(B36,Environments!$A$5:$K$50,7,FALSE),0)</f>
        <v/>
      </c>
      <c r="O36">
        <f>IFERROR(VLOOKUP(B36,Environments!$A$5:$K$50,11,FALSE),0)</f>
        <v/>
      </c>
      <c r="P36">
        <f>(D36*K36+F36*L36+H36*M36+J36*N36)*Global!$B$5</f>
        <v/>
      </c>
      <c r="Q36">
        <f>IF(SUMIF(Measurement!$B:$B,B36,Measurement!$J:$J)=0,D36*O36,J36*O36)</f>
        <v/>
      </c>
      <c r="R36">
        <f>P36+Q36</f>
        <v/>
      </c>
      <c r="S36" t="n">
        <v>0</v>
      </c>
      <c r="T36">
        <f>R36+S36</f>
        <v/>
      </c>
      <c r="U36">
        <f>T36*12</f>
        <v/>
      </c>
    </row>
    <row r="37">
      <c r="A37">
        <f>Measurement!A35</f>
        <v/>
      </c>
      <c r="B37">
        <f>Measurement!B35</f>
        <v/>
      </c>
      <c r="C37">
        <f>Measurement!G35</f>
        <v/>
      </c>
      <c r="D37">
        <f>IF(SUMIF(Measurement!$B:$B,B37,Measurement!$G:$G)=0,0,C37/SUMIF(Measurement!$B:$B,B37,Measurement!$G:$G))</f>
        <v/>
      </c>
      <c r="E37">
        <f>Measurement!H35</f>
        <v/>
      </c>
      <c r="F37">
        <f>IF(SUMIF(Measurement!$B:$B,B37,Measurement!$H:$H)=0,0,E37/SUMIF(Measurement!$B:$B,B37,Measurement!$H:$H))</f>
        <v/>
      </c>
      <c r="G37">
        <f>Measurement!I35</f>
        <v/>
      </c>
      <c r="H37">
        <f>IF(SUMIF(Measurement!$B:$B,B37,Measurement!$I:$I)=0,0,G37/SUMIF(Measurement!$B:$B,B37,Measurement!$I:$I))</f>
        <v/>
      </c>
      <c r="I37">
        <f>Measurement!J35</f>
        <v/>
      </c>
      <c r="J37">
        <f>IF(SUMIF(Measurement!$B:$B,B37,Measurement!$J:$J)=0,0,I37/SUMIF(Measurement!$B:$B,B37,Measurement!$J:$J))</f>
        <v/>
      </c>
      <c r="K37">
        <f>IFERROR(VLOOKUP(B37,Environments!$A$5:$K$50,4,FALSE),0)</f>
        <v/>
      </c>
      <c r="L37">
        <f>IFERROR(VLOOKUP(B37,Environments!$A$5:$K$50,5,FALSE),0)</f>
        <v/>
      </c>
      <c r="M37">
        <f>IFERROR(VLOOKUP(B37,Environments!$A$5:$K$50,6,FALSE),0)</f>
        <v/>
      </c>
      <c r="N37">
        <f>IFERROR(VLOOKUP(B37,Environments!$A$5:$K$50,7,FALSE),0)</f>
        <v/>
      </c>
      <c r="O37">
        <f>IFERROR(VLOOKUP(B37,Environments!$A$5:$K$50,11,FALSE),0)</f>
        <v/>
      </c>
      <c r="P37">
        <f>(D37*K37+F37*L37+H37*M37+J37*N37)*Global!$B$5</f>
        <v/>
      </c>
      <c r="Q37">
        <f>IF(SUMIF(Measurement!$B:$B,B37,Measurement!$J:$J)=0,D37*O37,J37*O37)</f>
        <v/>
      </c>
      <c r="R37">
        <f>P37+Q37</f>
        <v/>
      </c>
      <c r="S37" t="n">
        <v>0</v>
      </c>
      <c r="T37">
        <f>R37+S37</f>
        <v/>
      </c>
      <c r="U37">
        <f>T37*12</f>
        <v/>
      </c>
    </row>
    <row r="38">
      <c r="A38">
        <f>Measurement!A36</f>
        <v/>
      </c>
      <c r="B38">
        <f>Measurement!B36</f>
        <v/>
      </c>
      <c r="C38">
        <f>Measurement!G36</f>
        <v/>
      </c>
      <c r="D38">
        <f>IF(SUMIF(Measurement!$B:$B,B38,Measurement!$G:$G)=0,0,C38/SUMIF(Measurement!$B:$B,B38,Measurement!$G:$G))</f>
        <v/>
      </c>
      <c r="E38">
        <f>Measurement!H36</f>
        <v/>
      </c>
      <c r="F38">
        <f>IF(SUMIF(Measurement!$B:$B,B38,Measurement!$H:$H)=0,0,E38/SUMIF(Measurement!$B:$B,B38,Measurement!$H:$H))</f>
        <v/>
      </c>
      <c r="G38">
        <f>Measurement!I36</f>
        <v/>
      </c>
      <c r="H38">
        <f>IF(SUMIF(Measurement!$B:$B,B38,Measurement!$I:$I)=0,0,G38/SUMIF(Measurement!$B:$B,B38,Measurement!$I:$I))</f>
        <v/>
      </c>
      <c r="I38">
        <f>Measurement!J36</f>
        <v/>
      </c>
      <c r="J38">
        <f>IF(SUMIF(Measurement!$B:$B,B38,Measurement!$J:$J)=0,0,I38/SUMIF(Measurement!$B:$B,B38,Measurement!$J:$J))</f>
        <v/>
      </c>
      <c r="K38">
        <f>IFERROR(VLOOKUP(B38,Environments!$A$5:$K$50,4,FALSE),0)</f>
        <v/>
      </c>
      <c r="L38">
        <f>IFERROR(VLOOKUP(B38,Environments!$A$5:$K$50,5,FALSE),0)</f>
        <v/>
      </c>
      <c r="M38">
        <f>IFERROR(VLOOKUP(B38,Environments!$A$5:$K$50,6,FALSE),0)</f>
        <v/>
      </c>
      <c r="N38">
        <f>IFERROR(VLOOKUP(B38,Environments!$A$5:$K$50,7,FALSE),0)</f>
        <v/>
      </c>
      <c r="O38">
        <f>IFERROR(VLOOKUP(B38,Environments!$A$5:$K$50,11,FALSE),0)</f>
        <v/>
      </c>
      <c r="P38">
        <f>(D38*K38+F38*L38+H38*M38+J38*N38)*Global!$B$5</f>
        <v/>
      </c>
      <c r="Q38">
        <f>IF(SUMIF(Measurement!$B:$B,B38,Measurement!$J:$J)=0,D38*O38,J38*O38)</f>
        <v/>
      </c>
      <c r="R38">
        <f>P38+Q38</f>
        <v/>
      </c>
      <c r="S38" t="n">
        <v>0</v>
      </c>
      <c r="T38">
        <f>R38+S38</f>
        <v/>
      </c>
      <c r="U38">
        <f>T38*12</f>
        <v/>
      </c>
    </row>
    <row r="39">
      <c r="A39">
        <f>Measurement!A37</f>
        <v/>
      </c>
      <c r="B39">
        <f>Measurement!B37</f>
        <v/>
      </c>
      <c r="C39">
        <f>Measurement!G37</f>
        <v/>
      </c>
      <c r="D39">
        <f>IF(SUMIF(Measurement!$B:$B,B39,Measurement!$G:$G)=0,0,C39/SUMIF(Measurement!$B:$B,B39,Measurement!$G:$G))</f>
        <v/>
      </c>
      <c r="E39">
        <f>Measurement!H37</f>
        <v/>
      </c>
      <c r="F39">
        <f>IF(SUMIF(Measurement!$B:$B,B39,Measurement!$H:$H)=0,0,E39/SUMIF(Measurement!$B:$B,B39,Measurement!$H:$H))</f>
        <v/>
      </c>
      <c r="G39">
        <f>Measurement!I37</f>
        <v/>
      </c>
      <c r="H39">
        <f>IF(SUMIF(Measurement!$B:$B,B39,Measurement!$I:$I)=0,0,G39/SUMIF(Measurement!$B:$B,B39,Measurement!$I:$I))</f>
        <v/>
      </c>
      <c r="I39">
        <f>Measurement!J37</f>
        <v/>
      </c>
      <c r="J39">
        <f>IF(SUMIF(Measurement!$B:$B,B39,Measurement!$J:$J)=0,0,I39/SUMIF(Measurement!$B:$B,B39,Measurement!$J:$J))</f>
        <v/>
      </c>
      <c r="K39">
        <f>IFERROR(VLOOKUP(B39,Environments!$A$5:$K$50,4,FALSE),0)</f>
        <v/>
      </c>
      <c r="L39">
        <f>IFERROR(VLOOKUP(B39,Environments!$A$5:$K$50,5,FALSE),0)</f>
        <v/>
      </c>
      <c r="M39">
        <f>IFERROR(VLOOKUP(B39,Environments!$A$5:$K$50,6,FALSE),0)</f>
        <v/>
      </c>
      <c r="N39">
        <f>IFERROR(VLOOKUP(B39,Environments!$A$5:$K$50,7,FALSE),0)</f>
        <v/>
      </c>
      <c r="O39">
        <f>IFERROR(VLOOKUP(B39,Environments!$A$5:$K$50,11,FALSE),0)</f>
        <v/>
      </c>
      <c r="P39">
        <f>(D39*K39+F39*L39+H39*M39+J39*N39)*Global!$B$5</f>
        <v/>
      </c>
      <c r="Q39">
        <f>IF(SUMIF(Measurement!$B:$B,B39,Measurement!$J:$J)=0,D39*O39,J39*O39)</f>
        <v/>
      </c>
      <c r="R39">
        <f>P39+Q39</f>
        <v/>
      </c>
      <c r="S39" t="n">
        <v>0</v>
      </c>
      <c r="T39">
        <f>R39+S39</f>
        <v/>
      </c>
      <c r="U39">
        <f>T39*12</f>
        <v/>
      </c>
    </row>
    <row r="40">
      <c r="A40">
        <f>Measurement!A38</f>
        <v/>
      </c>
      <c r="B40">
        <f>Measurement!B38</f>
        <v/>
      </c>
      <c r="C40">
        <f>Measurement!G38</f>
        <v/>
      </c>
      <c r="D40">
        <f>IF(SUMIF(Measurement!$B:$B,B40,Measurement!$G:$G)=0,0,C40/SUMIF(Measurement!$B:$B,B40,Measurement!$G:$G))</f>
        <v/>
      </c>
      <c r="E40">
        <f>Measurement!H38</f>
        <v/>
      </c>
      <c r="F40">
        <f>IF(SUMIF(Measurement!$B:$B,B40,Measurement!$H:$H)=0,0,E40/SUMIF(Measurement!$B:$B,B40,Measurement!$H:$H))</f>
        <v/>
      </c>
      <c r="G40">
        <f>Measurement!I38</f>
        <v/>
      </c>
      <c r="H40">
        <f>IF(SUMIF(Measurement!$B:$B,B40,Measurement!$I:$I)=0,0,G40/SUMIF(Measurement!$B:$B,B40,Measurement!$I:$I))</f>
        <v/>
      </c>
      <c r="I40">
        <f>Measurement!J38</f>
        <v/>
      </c>
      <c r="J40">
        <f>IF(SUMIF(Measurement!$B:$B,B40,Measurement!$J:$J)=0,0,I40/SUMIF(Measurement!$B:$B,B40,Measurement!$J:$J))</f>
        <v/>
      </c>
      <c r="K40">
        <f>IFERROR(VLOOKUP(B40,Environments!$A$5:$K$50,4,FALSE),0)</f>
        <v/>
      </c>
      <c r="L40">
        <f>IFERROR(VLOOKUP(B40,Environments!$A$5:$K$50,5,FALSE),0)</f>
        <v/>
      </c>
      <c r="M40">
        <f>IFERROR(VLOOKUP(B40,Environments!$A$5:$K$50,6,FALSE),0)</f>
        <v/>
      </c>
      <c r="N40">
        <f>IFERROR(VLOOKUP(B40,Environments!$A$5:$K$50,7,FALSE),0)</f>
        <v/>
      </c>
      <c r="O40">
        <f>IFERROR(VLOOKUP(B40,Environments!$A$5:$K$50,11,FALSE),0)</f>
        <v/>
      </c>
      <c r="P40">
        <f>(D40*K40+F40*L40+H40*M40+J40*N40)*Global!$B$5</f>
        <v/>
      </c>
      <c r="Q40">
        <f>IF(SUMIF(Measurement!$B:$B,B40,Measurement!$J:$J)=0,D40*O40,J40*O40)</f>
        <v/>
      </c>
      <c r="R40">
        <f>P40+Q40</f>
        <v/>
      </c>
      <c r="S40" t="n">
        <v>0</v>
      </c>
      <c r="T40">
        <f>R40+S40</f>
        <v/>
      </c>
      <c r="U40">
        <f>T40*12</f>
        <v/>
      </c>
    </row>
    <row r="41">
      <c r="A41">
        <f>Measurement!A39</f>
        <v/>
      </c>
      <c r="B41">
        <f>Measurement!B39</f>
        <v/>
      </c>
      <c r="C41">
        <f>Measurement!G39</f>
        <v/>
      </c>
      <c r="D41">
        <f>IF(SUMIF(Measurement!$B:$B,B41,Measurement!$G:$G)=0,0,C41/SUMIF(Measurement!$B:$B,B41,Measurement!$G:$G))</f>
        <v/>
      </c>
      <c r="E41">
        <f>Measurement!H39</f>
        <v/>
      </c>
      <c r="F41">
        <f>IF(SUMIF(Measurement!$B:$B,B41,Measurement!$H:$H)=0,0,E41/SUMIF(Measurement!$B:$B,B41,Measurement!$H:$H))</f>
        <v/>
      </c>
      <c r="G41">
        <f>Measurement!I39</f>
        <v/>
      </c>
      <c r="H41">
        <f>IF(SUMIF(Measurement!$B:$B,B41,Measurement!$I:$I)=0,0,G41/SUMIF(Measurement!$B:$B,B41,Measurement!$I:$I))</f>
        <v/>
      </c>
      <c r="I41">
        <f>Measurement!J39</f>
        <v/>
      </c>
      <c r="J41">
        <f>IF(SUMIF(Measurement!$B:$B,B41,Measurement!$J:$J)=0,0,I41/SUMIF(Measurement!$B:$B,B41,Measurement!$J:$J))</f>
        <v/>
      </c>
      <c r="K41">
        <f>IFERROR(VLOOKUP(B41,Environments!$A$5:$K$50,4,FALSE),0)</f>
        <v/>
      </c>
      <c r="L41">
        <f>IFERROR(VLOOKUP(B41,Environments!$A$5:$K$50,5,FALSE),0)</f>
        <v/>
      </c>
      <c r="M41">
        <f>IFERROR(VLOOKUP(B41,Environments!$A$5:$K$50,6,FALSE),0)</f>
        <v/>
      </c>
      <c r="N41">
        <f>IFERROR(VLOOKUP(B41,Environments!$A$5:$K$50,7,FALSE),0)</f>
        <v/>
      </c>
      <c r="O41">
        <f>IFERROR(VLOOKUP(B41,Environments!$A$5:$K$50,11,FALSE),0)</f>
        <v/>
      </c>
      <c r="P41">
        <f>(D41*K41+F41*L41+H41*M41+J41*N41)*Global!$B$5</f>
        <v/>
      </c>
      <c r="Q41">
        <f>IF(SUMIF(Measurement!$B:$B,B41,Measurement!$J:$J)=0,D41*O41,J41*O41)</f>
        <v/>
      </c>
      <c r="R41">
        <f>P41+Q41</f>
        <v/>
      </c>
      <c r="S41" t="n">
        <v>0</v>
      </c>
      <c r="T41">
        <f>R41+S41</f>
        <v/>
      </c>
      <c r="U41">
        <f>T41*12</f>
        <v/>
      </c>
    </row>
    <row r="42">
      <c r="A42">
        <f>Measurement!A40</f>
        <v/>
      </c>
      <c r="B42">
        <f>Measurement!B40</f>
        <v/>
      </c>
      <c r="C42">
        <f>Measurement!G40</f>
        <v/>
      </c>
      <c r="D42">
        <f>IF(SUMIF(Measurement!$B:$B,B42,Measurement!$G:$G)=0,0,C42/SUMIF(Measurement!$B:$B,B42,Measurement!$G:$G))</f>
        <v/>
      </c>
      <c r="E42">
        <f>Measurement!H40</f>
        <v/>
      </c>
      <c r="F42">
        <f>IF(SUMIF(Measurement!$B:$B,B42,Measurement!$H:$H)=0,0,E42/SUMIF(Measurement!$B:$B,B42,Measurement!$H:$H))</f>
        <v/>
      </c>
      <c r="G42">
        <f>Measurement!I40</f>
        <v/>
      </c>
      <c r="H42">
        <f>IF(SUMIF(Measurement!$B:$B,B42,Measurement!$I:$I)=0,0,G42/SUMIF(Measurement!$B:$B,B42,Measurement!$I:$I))</f>
        <v/>
      </c>
      <c r="I42">
        <f>Measurement!J40</f>
        <v/>
      </c>
      <c r="J42">
        <f>IF(SUMIF(Measurement!$B:$B,B42,Measurement!$J:$J)=0,0,I42/SUMIF(Measurement!$B:$B,B42,Measurement!$J:$J))</f>
        <v/>
      </c>
      <c r="K42">
        <f>IFERROR(VLOOKUP(B42,Environments!$A$5:$K$50,4,FALSE),0)</f>
        <v/>
      </c>
      <c r="L42">
        <f>IFERROR(VLOOKUP(B42,Environments!$A$5:$K$50,5,FALSE),0)</f>
        <v/>
      </c>
      <c r="M42">
        <f>IFERROR(VLOOKUP(B42,Environments!$A$5:$K$50,6,FALSE),0)</f>
        <v/>
      </c>
      <c r="N42">
        <f>IFERROR(VLOOKUP(B42,Environments!$A$5:$K$50,7,FALSE),0)</f>
        <v/>
      </c>
      <c r="O42">
        <f>IFERROR(VLOOKUP(B42,Environments!$A$5:$K$50,11,FALSE),0)</f>
        <v/>
      </c>
      <c r="P42">
        <f>(D42*K42+F42*L42+H42*M42+J42*N42)*Global!$B$5</f>
        <v/>
      </c>
      <c r="Q42">
        <f>IF(SUMIF(Measurement!$B:$B,B42,Measurement!$J:$J)=0,D42*O42,J42*O42)</f>
        <v/>
      </c>
      <c r="R42">
        <f>P42+Q42</f>
        <v/>
      </c>
      <c r="S42" t="n">
        <v>0</v>
      </c>
      <c r="T42">
        <f>R42+S42</f>
        <v/>
      </c>
      <c r="U42">
        <f>T42*12</f>
        <v/>
      </c>
    </row>
    <row r="43">
      <c r="A43">
        <f>Measurement!A41</f>
        <v/>
      </c>
      <c r="B43">
        <f>Measurement!B41</f>
        <v/>
      </c>
      <c r="C43">
        <f>Measurement!G41</f>
        <v/>
      </c>
      <c r="D43">
        <f>IF(SUMIF(Measurement!$B:$B,B43,Measurement!$G:$G)=0,0,C43/SUMIF(Measurement!$B:$B,B43,Measurement!$G:$G))</f>
        <v/>
      </c>
      <c r="E43">
        <f>Measurement!H41</f>
        <v/>
      </c>
      <c r="F43">
        <f>IF(SUMIF(Measurement!$B:$B,B43,Measurement!$H:$H)=0,0,E43/SUMIF(Measurement!$B:$B,B43,Measurement!$H:$H))</f>
        <v/>
      </c>
      <c r="G43">
        <f>Measurement!I41</f>
        <v/>
      </c>
      <c r="H43">
        <f>IF(SUMIF(Measurement!$B:$B,B43,Measurement!$I:$I)=0,0,G43/SUMIF(Measurement!$B:$B,B43,Measurement!$I:$I))</f>
        <v/>
      </c>
      <c r="I43">
        <f>Measurement!J41</f>
        <v/>
      </c>
      <c r="J43">
        <f>IF(SUMIF(Measurement!$B:$B,B43,Measurement!$J:$J)=0,0,I43/SUMIF(Measurement!$B:$B,B43,Measurement!$J:$J))</f>
        <v/>
      </c>
      <c r="K43">
        <f>IFERROR(VLOOKUP(B43,Environments!$A$5:$K$50,4,FALSE),0)</f>
        <v/>
      </c>
      <c r="L43">
        <f>IFERROR(VLOOKUP(B43,Environments!$A$5:$K$50,5,FALSE),0)</f>
        <v/>
      </c>
      <c r="M43">
        <f>IFERROR(VLOOKUP(B43,Environments!$A$5:$K$50,6,FALSE),0)</f>
        <v/>
      </c>
      <c r="N43">
        <f>IFERROR(VLOOKUP(B43,Environments!$A$5:$K$50,7,FALSE),0)</f>
        <v/>
      </c>
      <c r="O43">
        <f>IFERROR(VLOOKUP(B43,Environments!$A$5:$K$50,11,FALSE),0)</f>
        <v/>
      </c>
      <c r="P43">
        <f>(D43*K43+F43*L43+H43*M43+J43*N43)*Global!$B$5</f>
        <v/>
      </c>
      <c r="Q43">
        <f>IF(SUMIF(Measurement!$B:$B,B43,Measurement!$J:$J)=0,D43*O43,J43*O43)</f>
        <v/>
      </c>
      <c r="R43">
        <f>P43+Q43</f>
        <v/>
      </c>
      <c r="S43" t="n">
        <v>0</v>
      </c>
      <c r="T43">
        <f>R43+S43</f>
        <v/>
      </c>
      <c r="U43">
        <f>T43*12</f>
        <v/>
      </c>
    </row>
    <row r="44">
      <c r="A44">
        <f>Measurement!A42</f>
        <v/>
      </c>
      <c r="B44">
        <f>Measurement!B42</f>
        <v/>
      </c>
      <c r="C44">
        <f>Measurement!G42</f>
        <v/>
      </c>
      <c r="D44">
        <f>IF(SUMIF(Measurement!$B:$B,B44,Measurement!$G:$G)=0,0,C44/SUMIF(Measurement!$B:$B,B44,Measurement!$G:$G))</f>
        <v/>
      </c>
      <c r="E44">
        <f>Measurement!H42</f>
        <v/>
      </c>
      <c r="F44">
        <f>IF(SUMIF(Measurement!$B:$B,B44,Measurement!$H:$H)=0,0,E44/SUMIF(Measurement!$B:$B,B44,Measurement!$H:$H))</f>
        <v/>
      </c>
      <c r="G44">
        <f>Measurement!I42</f>
        <v/>
      </c>
      <c r="H44">
        <f>IF(SUMIF(Measurement!$B:$B,B44,Measurement!$I:$I)=0,0,G44/SUMIF(Measurement!$B:$B,B44,Measurement!$I:$I))</f>
        <v/>
      </c>
      <c r="I44">
        <f>Measurement!J42</f>
        <v/>
      </c>
      <c r="J44">
        <f>IF(SUMIF(Measurement!$B:$B,B44,Measurement!$J:$J)=0,0,I44/SUMIF(Measurement!$B:$B,B44,Measurement!$J:$J))</f>
        <v/>
      </c>
      <c r="K44">
        <f>IFERROR(VLOOKUP(B44,Environments!$A$5:$K$50,4,FALSE),0)</f>
        <v/>
      </c>
      <c r="L44">
        <f>IFERROR(VLOOKUP(B44,Environments!$A$5:$K$50,5,FALSE),0)</f>
        <v/>
      </c>
      <c r="M44">
        <f>IFERROR(VLOOKUP(B44,Environments!$A$5:$K$50,6,FALSE),0)</f>
        <v/>
      </c>
      <c r="N44">
        <f>IFERROR(VLOOKUP(B44,Environments!$A$5:$K$50,7,FALSE),0)</f>
        <v/>
      </c>
      <c r="O44">
        <f>IFERROR(VLOOKUP(B44,Environments!$A$5:$K$50,11,FALSE),0)</f>
        <v/>
      </c>
      <c r="P44">
        <f>(D44*K44+F44*L44+H44*M44+J44*N44)*Global!$B$5</f>
        <v/>
      </c>
      <c r="Q44">
        <f>IF(SUMIF(Measurement!$B:$B,B44,Measurement!$J:$J)=0,D44*O44,J44*O44)</f>
        <v/>
      </c>
      <c r="R44">
        <f>P44+Q44</f>
        <v/>
      </c>
      <c r="S44" t="n">
        <v>0</v>
      </c>
      <c r="T44">
        <f>R44+S44</f>
        <v/>
      </c>
      <c r="U44">
        <f>T44*12</f>
        <v/>
      </c>
    </row>
    <row r="45">
      <c r="A45">
        <f>Measurement!A43</f>
        <v/>
      </c>
      <c r="B45">
        <f>Measurement!B43</f>
        <v/>
      </c>
      <c r="C45">
        <f>Measurement!G43</f>
        <v/>
      </c>
      <c r="D45">
        <f>IF(SUMIF(Measurement!$B:$B,B45,Measurement!$G:$G)=0,0,C45/SUMIF(Measurement!$B:$B,B45,Measurement!$G:$G))</f>
        <v/>
      </c>
      <c r="E45">
        <f>Measurement!H43</f>
        <v/>
      </c>
      <c r="F45">
        <f>IF(SUMIF(Measurement!$B:$B,B45,Measurement!$H:$H)=0,0,E45/SUMIF(Measurement!$B:$B,B45,Measurement!$H:$H))</f>
        <v/>
      </c>
      <c r="G45">
        <f>Measurement!I43</f>
        <v/>
      </c>
      <c r="H45">
        <f>IF(SUMIF(Measurement!$B:$B,B45,Measurement!$I:$I)=0,0,G45/SUMIF(Measurement!$B:$B,B45,Measurement!$I:$I))</f>
        <v/>
      </c>
      <c r="I45">
        <f>Measurement!J43</f>
        <v/>
      </c>
      <c r="J45">
        <f>IF(SUMIF(Measurement!$B:$B,B45,Measurement!$J:$J)=0,0,I45/SUMIF(Measurement!$B:$B,B45,Measurement!$J:$J))</f>
        <v/>
      </c>
      <c r="K45">
        <f>IFERROR(VLOOKUP(B45,Environments!$A$5:$K$50,4,FALSE),0)</f>
        <v/>
      </c>
      <c r="L45">
        <f>IFERROR(VLOOKUP(B45,Environments!$A$5:$K$50,5,FALSE),0)</f>
        <v/>
      </c>
      <c r="M45">
        <f>IFERROR(VLOOKUP(B45,Environments!$A$5:$K$50,6,FALSE),0)</f>
        <v/>
      </c>
      <c r="N45">
        <f>IFERROR(VLOOKUP(B45,Environments!$A$5:$K$50,7,FALSE),0)</f>
        <v/>
      </c>
      <c r="O45">
        <f>IFERROR(VLOOKUP(B45,Environments!$A$5:$K$50,11,FALSE),0)</f>
        <v/>
      </c>
      <c r="P45">
        <f>(D45*K45+F45*L45+H45*M45+J45*N45)*Global!$B$5</f>
        <v/>
      </c>
      <c r="Q45">
        <f>IF(SUMIF(Measurement!$B:$B,B45,Measurement!$J:$J)=0,D45*O45,J45*O45)</f>
        <v/>
      </c>
      <c r="R45">
        <f>P45+Q45</f>
        <v/>
      </c>
      <c r="S45" t="n">
        <v>0</v>
      </c>
      <c r="T45">
        <f>R45+S45</f>
        <v/>
      </c>
      <c r="U45">
        <f>T45*12</f>
        <v/>
      </c>
    </row>
    <row r="46">
      <c r="A46">
        <f>Measurement!A44</f>
        <v/>
      </c>
      <c r="B46">
        <f>Measurement!B44</f>
        <v/>
      </c>
      <c r="C46">
        <f>Measurement!G44</f>
        <v/>
      </c>
      <c r="D46">
        <f>IF(SUMIF(Measurement!$B:$B,B46,Measurement!$G:$G)=0,0,C46/SUMIF(Measurement!$B:$B,B46,Measurement!$G:$G))</f>
        <v/>
      </c>
      <c r="E46">
        <f>Measurement!H44</f>
        <v/>
      </c>
      <c r="F46">
        <f>IF(SUMIF(Measurement!$B:$B,B46,Measurement!$H:$H)=0,0,E46/SUMIF(Measurement!$B:$B,B46,Measurement!$H:$H))</f>
        <v/>
      </c>
      <c r="G46">
        <f>Measurement!I44</f>
        <v/>
      </c>
      <c r="H46">
        <f>IF(SUMIF(Measurement!$B:$B,B46,Measurement!$I:$I)=0,0,G46/SUMIF(Measurement!$B:$B,B46,Measurement!$I:$I))</f>
        <v/>
      </c>
      <c r="I46">
        <f>Measurement!J44</f>
        <v/>
      </c>
      <c r="J46">
        <f>IF(SUMIF(Measurement!$B:$B,B46,Measurement!$J:$J)=0,0,I46/SUMIF(Measurement!$B:$B,B46,Measurement!$J:$J))</f>
        <v/>
      </c>
      <c r="K46">
        <f>IFERROR(VLOOKUP(B46,Environments!$A$5:$K$50,4,FALSE),0)</f>
        <v/>
      </c>
      <c r="L46">
        <f>IFERROR(VLOOKUP(B46,Environments!$A$5:$K$50,5,FALSE),0)</f>
        <v/>
      </c>
      <c r="M46">
        <f>IFERROR(VLOOKUP(B46,Environments!$A$5:$K$50,6,FALSE),0)</f>
        <v/>
      </c>
      <c r="N46">
        <f>IFERROR(VLOOKUP(B46,Environments!$A$5:$K$50,7,FALSE),0)</f>
        <v/>
      </c>
      <c r="O46">
        <f>IFERROR(VLOOKUP(B46,Environments!$A$5:$K$50,11,FALSE),0)</f>
        <v/>
      </c>
      <c r="P46">
        <f>(D46*K46+F46*L46+H46*M46+J46*N46)*Global!$B$5</f>
        <v/>
      </c>
      <c r="Q46">
        <f>IF(SUMIF(Measurement!$B:$B,B46,Measurement!$J:$J)=0,D46*O46,J46*O46)</f>
        <v/>
      </c>
      <c r="R46">
        <f>P46+Q46</f>
        <v/>
      </c>
      <c r="S46" t="n">
        <v>0</v>
      </c>
      <c r="T46">
        <f>R46+S46</f>
        <v/>
      </c>
      <c r="U46">
        <f>T46*12</f>
        <v/>
      </c>
    </row>
    <row r="47">
      <c r="A47">
        <f>Measurement!A45</f>
        <v/>
      </c>
      <c r="B47">
        <f>Measurement!B45</f>
        <v/>
      </c>
      <c r="C47">
        <f>Measurement!G45</f>
        <v/>
      </c>
      <c r="D47">
        <f>IF(SUMIF(Measurement!$B:$B,B47,Measurement!$G:$G)=0,0,C47/SUMIF(Measurement!$B:$B,B47,Measurement!$G:$G))</f>
        <v/>
      </c>
      <c r="E47">
        <f>Measurement!H45</f>
        <v/>
      </c>
      <c r="F47">
        <f>IF(SUMIF(Measurement!$B:$B,B47,Measurement!$H:$H)=0,0,E47/SUMIF(Measurement!$B:$B,B47,Measurement!$H:$H))</f>
        <v/>
      </c>
      <c r="G47">
        <f>Measurement!I45</f>
        <v/>
      </c>
      <c r="H47">
        <f>IF(SUMIF(Measurement!$B:$B,B47,Measurement!$I:$I)=0,0,G47/SUMIF(Measurement!$B:$B,B47,Measurement!$I:$I))</f>
        <v/>
      </c>
      <c r="I47">
        <f>Measurement!J45</f>
        <v/>
      </c>
      <c r="J47">
        <f>IF(SUMIF(Measurement!$B:$B,B47,Measurement!$J:$J)=0,0,I47/SUMIF(Measurement!$B:$B,B47,Measurement!$J:$J))</f>
        <v/>
      </c>
      <c r="K47">
        <f>IFERROR(VLOOKUP(B47,Environments!$A$5:$K$50,4,FALSE),0)</f>
        <v/>
      </c>
      <c r="L47">
        <f>IFERROR(VLOOKUP(B47,Environments!$A$5:$K$50,5,FALSE),0)</f>
        <v/>
      </c>
      <c r="M47">
        <f>IFERROR(VLOOKUP(B47,Environments!$A$5:$K$50,6,FALSE),0)</f>
        <v/>
      </c>
      <c r="N47">
        <f>IFERROR(VLOOKUP(B47,Environments!$A$5:$K$50,7,FALSE),0)</f>
        <v/>
      </c>
      <c r="O47">
        <f>IFERROR(VLOOKUP(B47,Environments!$A$5:$K$50,11,FALSE),0)</f>
        <v/>
      </c>
      <c r="P47">
        <f>(D47*K47+F47*L47+H47*M47+J47*N47)*Global!$B$5</f>
        <v/>
      </c>
      <c r="Q47">
        <f>IF(SUMIF(Measurement!$B:$B,B47,Measurement!$J:$J)=0,D47*O47,J47*O47)</f>
        <v/>
      </c>
      <c r="R47">
        <f>P47+Q47</f>
        <v/>
      </c>
      <c r="S47" t="n">
        <v>0</v>
      </c>
      <c r="T47">
        <f>R47+S47</f>
        <v/>
      </c>
      <c r="U47">
        <f>T47*12</f>
        <v/>
      </c>
    </row>
    <row r="48">
      <c r="A48">
        <f>Measurement!A46</f>
        <v/>
      </c>
      <c r="B48">
        <f>Measurement!B46</f>
        <v/>
      </c>
      <c r="C48">
        <f>Measurement!G46</f>
        <v/>
      </c>
      <c r="D48">
        <f>IF(SUMIF(Measurement!$B:$B,B48,Measurement!$G:$G)=0,0,C48/SUMIF(Measurement!$B:$B,B48,Measurement!$G:$G))</f>
        <v/>
      </c>
      <c r="E48">
        <f>Measurement!H46</f>
        <v/>
      </c>
      <c r="F48">
        <f>IF(SUMIF(Measurement!$B:$B,B48,Measurement!$H:$H)=0,0,E48/SUMIF(Measurement!$B:$B,B48,Measurement!$H:$H))</f>
        <v/>
      </c>
      <c r="G48">
        <f>Measurement!I46</f>
        <v/>
      </c>
      <c r="H48">
        <f>IF(SUMIF(Measurement!$B:$B,B48,Measurement!$I:$I)=0,0,G48/SUMIF(Measurement!$B:$B,B48,Measurement!$I:$I))</f>
        <v/>
      </c>
      <c r="I48">
        <f>Measurement!J46</f>
        <v/>
      </c>
      <c r="J48">
        <f>IF(SUMIF(Measurement!$B:$B,B48,Measurement!$J:$J)=0,0,I48/SUMIF(Measurement!$B:$B,B48,Measurement!$J:$J))</f>
        <v/>
      </c>
      <c r="K48">
        <f>IFERROR(VLOOKUP(B48,Environments!$A$5:$K$50,4,FALSE),0)</f>
        <v/>
      </c>
      <c r="L48">
        <f>IFERROR(VLOOKUP(B48,Environments!$A$5:$K$50,5,FALSE),0)</f>
        <v/>
      </c>
      <c r="M48">
        <f>IFERROR(VLOOKUP(B48,Environments!$A$5:$K$50,6,FALSE),0)</f>
        <v/>
      </c>
      <c r="N48">
        <f>IFERROR(VLOOKUP(B48,Environments!$A$5:$K$50,7,FALSE),0)</f>
        <v/>
      </c>
      <c r="O48">
        <f>IFERROR(VLOOKUP(B48,Environments!$A$5:$K$50,11,FALSE),0)</f>
        <v/>
      </c>
      <c r="P48">
        <f>(D48*K48+F48*L48+H48*M48+J48*N48)*Global!$B$5</f>
        <v/>
      </c>
      <c r="Q48">
        <f>IF(SUMIF(Measurement!$B:$B,B48,Measurement!$J:$J)=0,D48*O48,J48*O48)</f>
        <v/>
      </c>
      <c r="R48">
        <f>P48+Q48</f>
        <v/>
      </c>
      <c r="S48" t="n">
        <v>0</v>
      </c>
      <c r="T48">
        <f>R48+S48</f>
        <v/>
      </c>
      <c r="U48">
        <f>T48*12</f>
        <v/>
      </c>
    </row>
    <row r="49">
      <c r="A49">
        <f>Measurement!A47</f>
        <v/>
      </c>
      <c r="B49">
        <f>Measurement!B47</f>
        <v/>
      </c>
      <c r="C49">
        <f>Measurement!G47</f>
        <v/>
      </c>
      <c r="D49">
        <f>IF(SUMIF(Measurement!$B:$B,B49,Measurement!$G:$G)=0,0,C49/SUMIF(Measurement!$B:$B,B49,Measurement!$G:$G))</f>
        <v/>
      </c>
      <c r="E49">
        <f>Measurement!H47</f>
        <v/>
      </c>
      <c r="F49">
        <f>IF(SUMIF(Measurement!$B:$B,B49,Measurement!$H:$H)=0,0,E49/SUMIF(Measurement!$B:$B,B49,Measurement!$H:$H))</f>
        <v/>
      </c>
      <c r="G49">
        <f>Measurement!I47</f>
        <v/>
      </c>
      <c r="H49">
        <f>IF(SUMIF(Measurement!$B:$B,B49,Measurement!$I:$I)=0,0,G49/SUMIF(Measurement!$B:$B,B49,Measurement!$I:$I))</f>
        <v/>
      </c>
      <c r="I49">
        <f>Measurement!J47</f>
        <v/>
      </c>
      <c r="J49">
        <f>IF(SUMIF(Measurement!$B:$B,B49,Measurement!$J:$J)=0,0,I49/SUMIF(Measurement!$B:$B,B49,Measurement!$J:$J))</f>
        <v/>
      </c>
      <c r="K49">
        <f>IFERROR(VLOOKUP(B49,Environments!$A$5:$K$50,4,FALSE),0)</f>
        <v/>
      </c>
      <c r="L49">
        <f>IFERROR(VLOOKUP(B49,Environments!$A$5:$K$50,5,FALSE),0)</f>
        <v/>
      </c>
      <c r="M49">
        <f>IFERROR(VLOOKUP(B49,Environments!$A$5:$K$50,6,FALSE),0)</f>
        <v/>
      </c>
      <c r="N49">
        <f>IFERROR(VLOOKUP(B49,Environments!$A$5:$K$50,7,FALSE),0)</f>
        <v/>
      </c>
      <c r="O49">
        <f>IFERROR(VLOOKUP(B49,Environments!$A$5:$K$50,11,FALSE),0)</f>
        <v/>
      </c>
      <c r="P49">
        <f>(D49*K49+F49*L49+H49*M49+J49*N49)*Global!$B$5</f>
        <v/>
      </c>
      <c r="Q49">
        <f>IF(SUMIF(Measurement!$B:$B,B49,Measurement!$J:$J)=0,D49*O49,J49*O49)</f>
        <v/>
      </c>
      <c r="R49">
        <f>P49+Q49</f>
        <v/>
      </c>
      <c r="S49" t="n">
        <v>0</v>
      </c>
      <c r="T49">
        <f>R49+S49</f>
        <v/>
      </c>
      <c r="U49">
        <f>T49*12</f>
        <v/>
      </c>
    </row>
    <row r="50">
      <c r="A50">
        <f>Measurement!A48</f>
        <v/>
      </c>
      <c r="B50">
        <f>Measurement!B48</f>
        <v/>
      </c>
      <c r="C50">
        <f>Measurement!G48</f>
        <v/>
      </c>
      <c r="D50">
        <f>IF(SUMIF(Measurement!$B:$B,B50,Measurement!$G:$G)=0,0,C50/SUMIF(Measurement!$B:$B,B50,Measurement!$G:$G))</f>
        <v/>
      </c>
      <c r="E50">
        <f>Measurement!H48</f>
        <v/>
      </c>
      <c r="F50">
        <f>IF(SUMIF(Measurement!$B:$B,B50,Measurement!$H:$H)=0,0,E50/SUMIF(Measurement!$B:$B,B50,Measurement!$H:$H))</f>
        <v/>
      </c>
      <c r="G50">
        <f>Measurement!I48</f>
        <v/>
      </c>
      <c r="H50">
        <f>IF(SUMIF(Measurement!$B:$B,B50,Measurement!$I:$I)=0,0,G50/SUMIF(Measurement!$B:$B,B50,Measurement!$I:$I))</f>
        <v/>
      </c>
      <c r="I50">
        <f>Measurement!J48</f>
        <v/>
      </c>
      <c r="J50">
        <f>IF(SUMIF(Measurement!$B:$B,B50,Measurement!$J:$J)=0,0,I50/SUMIF(Measurement!$B:$B,B50,Measurement!$J:$J))</f>
        <v/>
      </c>
      <c r="K50">
        <f>IFERROR(VLOOKUP(B50,Environments!$A$5:$K$50,4,FALSE),0)</f>
        <v/>
      </c>
      <c r="L50">
        <f>IFERROR(VLOOKUP(B50,Environments!$A$5:$K$50,5,FALSE),0)</f>
        <v/>
      </c>
      <c r="M50">
        <f>IFERROR(VLOOKUP(B50,Environments!$A$5:$K$50,6,FALSE),0)</f>
        <v/>
      </c>
      <c r="N50">
        <f>IFERROR(VLOOKUP(B50,Environments!$A$5:$K$50,7,FALSE),0)</f>
        <v/>
      </c>
      <c r="O50">
        <f>IFERROR(VLOOKUP(B50,Environments!$A$5:$K$50,11,FALSE),0)</f>
        <v/>
      </c>
      <c r="P50">
        <f>(D50*K50+F50*L50+H50*M50+J50*N50)*Global!$B$5</f>
        <v/>
      </c>
      <c r="Q50">
        <f>IF(SUMIF(Measurement!$B:$B,B50,Measurement!$J:$J)=0,D50*O50,J50*O50)</f>
        <v/>
      </c>
      <c r="R50">
        <f>P50+Q50</f>
        <v/>
      </c>
      <c r="S50" t="n">
        <v>0</v>
      </c>
      <c r="T50">
        <f>R50+S50</f>
        <v/>
      </c>
      <c r="U50">
        <f>T50*12</f>
        <v/>
      </c>
    </row>
    <row r="51">
      <c r="A51">
        <f>Measurement!A49</f>
        <v/>
      </c>
      <c r="B51">
        <f>Measurement!B49</f>
        <v/>
      </c>
      <c r="C51">
        <f>Measurement!G49</f>
        <v/>
      </c>
      <c r="D51">
        <f>IF(SUMIF(Measurement!$B:$B,B51,Measurement!$G:$G)=0,0,C51/SUMIF(Measurement!$B:$B,B51,Measurement!$G:$G))</f>
        <v/>
      </c>
      <c r="E51">
        <f>Measurement!H49</f>
        <v/>
      </c>
      <c r="F51">
        <f>IF(SUMIF(Measurement!$B:$B,B51,Measurement!$H:$H)=0,0,E51/SUMIF(Measurement!$B:$B,B51,Measurement!$H:$H))</f>
        <v/>
      </c>
      <c r="G51">
        <f>Measurement!I49</f>
        <v/>
      </c>
      <c r="H51">
        <f>IF(SUMIF(Measurement!$B:$B,B51,Measurement!$I:$I)=0,0,G51/SUMIF(Measurement!$B:$B,B51,Measurement!$I:$I))</f>
        <v/>
      </c>
      <c r="I51">
        <f>Measurement!J49</f>
        <v/>
      </c>
      <c r="J51">
        <f>IF(SUMIF(Measurement!$B:$B,B51,Measurement!$J:$J)=0,0,I51/SUMIF(Measurement!$B:$B,B51,Measurement!$J:$J))</f>
        <v/>
      </c>
      <c r="K51">
        <f>IFERROR(VLOOKUP(B51,Environments!$A$5:$K$50,4,FALSE),0)</f>
        <v/>
      </c>
      <c r="L51">
        <f>IFERROR(VLOOKUP(B51,Environments!$A$5:$K$50,5,FALSE),0)</f>
        <v/>
      </c>
      <c r="M51">
        <f>IFERROR(VLOOKUP(B51,Environments!$A$5:$K$50,6,FALSE),0)</f>
        <v/>
      </c>
      <c r="N51">
        <f>IFERROR(VLOOKUP(B51,Environments!$A$5:$K$50,7,FALSE),0)</f>
        <v/>
      </c>
      <c r="O51">
        <f>IFERROR(VLOOKUP(B51,Environments!$A$5:$K$50,11,FALSE),0)</f>
        <v/>
      </c>
      <c r="P51">
        <f>(D51*K51+F51*L51+H51*M51+J51*N51)*Global!$B$5</f>
        <v/>
      </c>
      <c r="Q51">
        <f>IF(SUMIF(Measurement!$B:$B,B51,Measurement!$J:$J)=0,D51*O51,J51*O51)</f>
        <v/>
      </c>
      <c r="R51">
        <f>P51+Q51</f>
        <v/>
      </c>
      <c r="S51" t="n">
        <v>0</v>
      </c>
      <c r="T51">
        <f>R51+S51</f>
        <v/>
      </c>
      <c r="U51">
        <f>T51*12</f>
        <v/>
      </c>
    </row>
    <row r="52">
      <c r="A52">
        <f>Measurement!A50</f>
        <v/>
      </c>
      <c r="B52">
        <f>Measurement!B50</f>
        <v/>
      </c>
      <c r="C52">
        <f>Measurement!G50</f>
        <v/>
      </c>
      <c r="D52">
        <f>IF(SUMIF(Measurement!$B:$B,B52,Measurement!$G:$G)=0,0,C52/SUMIF(Measurement!$B:$B,B52,Measurement!$G:$G))</f>
        <v/>
      </c>
      <c r="E52">
        <f>Measurement!H50</f>
        <v/>
      </c>
      <c r="F52">
        <f>IF(SUMIF(Measurement!$B:$B,B52,Measurement!$H:$H)=0,0,E52/SUMIF(Measurement!$B:$B,B52,Measurement!$H:$H))</f>
        <v/>
      </c>
      <c r="G52">
        <f>Measurement!I50</f>
        <v/>
      </c>
      <c r="H52">
        <f>IF(SUMIF(Measurement!$B:$B,B52,Measurement!$I:$I)=0,0,G52/SUMIF(Measurement!$B:$B,B52,Measurement!$I:$I))</f>
        <v/>
      </c>
      <c r="I52">
        <f>Measurement!J50</f>
        <v/>
      </c>
      <c r="J52">
        <f>IF(SUMIF(Measurement!$B:$B,B52,Measurement!$J:$J)=0,0,I52/SUMIF(Measurement!$B:$B,B52,Measurement!$J:$J))</f>
        <v/>
      </c>
      <c r="K52">
        <f>IFERROR(VLOOKUP(B52,Environments!$A$5:$K$50,4,FALSE),0)</f>
        <v/>
      </c>
      <c r="L52">
        <f>IFERROR(VLOOKUP(B52,Environments!$A$5:$K$50,5,FALSE),0)</f>
        <v/>
      </c>
      <c r="M52">
        <f>IFERROR(VLOOKUP(B52,Environments!$A$5:$K$50,6,FALSE),0)</f>
        <v/>
      </c>
      <c r="N52">
        <f>IFERROR(VLOOKUP(B52,Environments!$A$5:$K$50,7,FALSE),0)</f>
        <v/>
      </c>
      <c r="O52">
        <f>IFERROR(VLOOKUP(B52,Environments!$A$5:$K$50,11,FALSE),0)</f>
        <v/>
      </c>
      <c r="P52">
        <f>(D52*K52+F52*L52+H52*M52+J52*N52)*Global!$B$5</f>
        <v/>
      </c>
      <c r="Q52">
        <f>IF(SUMIF(Measurement!$B:$B,B52,Measurement!$J:$J)=0,D52*O52,J52*O52)</f>
        <v/>
      </c>
      <c r="R52">
        <f>P52+Q52</f>
        <v/>
      </c>
      <c r="S52" t="n">
        <v>0</v>
      </c>
      <c r="T52">
        <f>R52+S52</f>
        <v/>
      </c>
      <c r="U52">
        <f>T52*12</f>
        <v/>
      </c>
    </row>
    <row r="53">
      <c r="A53">
        <f>Measurement!A51</f>
        <v/>
      </c>
      <c r="B53">
        <f>Measurement!B51</f>
        <v/>
      </c>
      <c r="C53">
        <f>Measurement!G51</f>
        <v/>
      </c>
      <c r="D53">
        <f>IF(SUMIF(Measurement!$B:$B,B53,Measurement!$G:$G)=0,0,C53/SUMIF(Measurement!$B:$B,B53,Measurement!$G:$G))</f>
        <v/>
      </c>
      <c r="E53">
        <f>Measurement!H51</f>
        <v/>
      </c>
      <c r="F53">
        <f>IF(SUMIF(Measurement!$B:$B,B53,Measurement!$H:$H)=0,0,E53/SUMIF(Measurement!$B:$B,B53,Measurement!$H:$H))</f>
        <v/>
      </c>
      <c r="G53">
        <f>Measurement!I51</f>
        <v/>
      </c>
      <c r="H53">
        <f>IF(SUMIF(Measurement!$B:$B,B53,Measurement!$I:$I)=0,0,G53/SUMIF(Measurement!$B:$B,B53,Measurement!$I:$I))</f>
        <v/>
      </c>
      <c r="I53">
        <f>Measurement!J51</f>
        <v/>
      </c>
      <c r="J53">
        <f>IF(SUMIF(Measurement!$B:$B,B53,Measurement!$J:$J)=0,0,I53/SUMIF(Measurement!$B:$B,B53,Measurement!$J:$J))</f>
        <v/>
      </c>
      <c r="K53">
        <f>IFERROR(VLOOKUP(B53,Environments!$A$5:$K$50,4,FALSE),0)</f>
        <v/>
      </c>
      <c r="L53">
        <f>IFERROR(VLOOKUP(B53,Environments!$A$5:$K$50,5,FALSE),0)</f>
        <v/>
      </c>
      <c r="M53">
        <f>IFERROR(VLOOKUP(B53,Environments!$A$5:$K$50,6,FALSE),0)</f>
        <v/>
      </c>
      <c r="N53">
        <f>IFERROR(VLOOKUP(B53,Environments!$A$5:$K$50,7,FALSE),0)</f>
        <v/>
      </c>
      <c r="O53">
        <f>IFERROR(VLOOKUP(B53,Environments!$A$5:$K$50,11,FALSE),0)</f>
        <v/>
      </c>
      <c r="P53">
        <f>(D53*K53+F53*L53+H53*M53+J53*N53)*Global!$B$5</f>
        <v/>
      </c>
      <c r="Q53">
        <f>IF(SUMIF(Measurement!$B:$B,B53,Measurement!$J:$J)=0,D53*O53,J53*O53)</f>
        <v/>
      </c>
      <c r="R53">
        <f>P53+Q53</f>
        <v/>
      </c>
      <c r="S53" t="n">
        <v>0</v>
      </c>
      <c r="T53">
        <f>R53+S53</f>
        <v/>
      </c>
      <c r="U53">
        <f>T53*12</f>
        <v/>
      </c>
    </row>
    <row r="54">
      <c r="A54">
        <f>Measurement!A52</f>
        <v/>
      </c>
      <c r="B54">
        <f>Measurement!B52</f>
        <v/>
      </c>
      <c r="C54">
        <f>Measurement!G52</f>
        <v/>
      </c>
      <c r="D54">
        <f>IF(SUMIF(Measurement!$B:$B,B54,Measurement!$G:$G)=0,0,C54/SUMIF(Measurement!$B:$B,B54,Measurement!$G:$G))</f>
        <v/>
      </c>
      <c r="E54">
        <f>Measurement!H52</f>
        <v/>
      </c>
      <c r="F54">
        <f>IF(SUMIF(Measurement!$B:$B,B54,Measurement!$H:$H)=0,0,E54/SUMIF(Measurement!$B:$B,B54,Measurement!$H:$H))</f>
        <v/>
      </c>
      <c r="G54">
        <f>Measurement!I52</f>
        <v/>
      </c>
      <c r="H54">
        <f>IF(SUMIF(Measurement!$B:$B,B54,Measurement!$I:$I)=0,0,G54/SUMIF(Measurement!$B:$B,B54,Measurement!$I:$I))</f>
        <v/>
      </c>
      <c r="I54">
        <f>Measurement!J52</f>
        <v/>
      </c>
      <c r="J54">
        <f>IF(SUMIF(Measurement!$B:$B,B54,Measurement!$J:$J)=0,0,I54/SUMIF(Measurement!$B:$B,B54,Measurement!$J:$J))</f>
        <v/>
      </c>
      <c r="K54">
        <f>IFERROR(VLOOKUP(B54,Environments!$A$5:$K$50,4,FALSE),0)</f>
        <v/>
      </c>
      <c r="L54">
        <f>IFERROR(VLOOKUP(B54,Environments!$A$5:$K$50,5,FALSE),0)</f>
        <v/>
      </c>
      <c r="M54">
        <f>IFERROR(VLOOKUP(B54,Environments!$A$5:$K$50,6,FALSE),0)</f>
        <v/>
      </c>
      <c r="N54">
        <f>IFERROR(VLOOKUP(B54,Environments!$A$5:$K$50,7,FALSE),0)</f>
        <v/>
      </c>
      <c r="O54">
        <f>IFERROR(VLOOKUP(B54,Environments!$A$5:$K$50,11,FALSE),0)</f>
        <v/>
      </c>
      <c r="P54">
        <f>(D54*K54+F54*L54+H54*M54+J54*N54)*Global!$B$5</f>
        <v/>
      </c>
      <c r="Q54">
        <f>IF(SUMIF(Measurement!$B:$B,B54,Measurement!$J:$J)=0,D54*O54,J54*O54)</f>
        <v/>
      </c>
      <c r="R54">
        <f>P54+Q54</f>
        <v/>
      </c>
      <c r="S54" t="n">
        <v>0</v>
      </c>
      <c r="T54">
        <f>R54+S54</f>
        <v/>
      </c>
      <c r="U54">
        <f>T54*12</f>
        <v/>
      </c>
    </row>
    <row r="55">
      <c r="A55">
        <f>Measurement!A53</f>
        <v/>
      </c>
      <c r="B55">
        <f>Measurement!B53</f>
        <v/>
      </c>
      <c r="C55">
        <f>Measurement!G53</f>
        <v/>
      </c>
      <c r="D55">
        <f>IF(SUMIF(Measurement!$B:$B,B55,Measurement!$G:$G)=0,0,C55/SUMIF(Measurement!$B:$B,B55,Measurement!$G:$G))</f>
        <v/>
      </c>
      <c r="E55">
        <f>Measurement!H53</f>
        <v/>
      </c>
      <c r="F55">
        <f>IF(SUMIF(Measurement!$B:$B,B55,Measurement!$H:$H)=0,0,E55/SUMIF(Measurement!$B:$B,B55,Measurement!$H:$H))</f>
        <v/>
      </c>
      <c r="G55">
        <f>Measurement!I53</f>
        <v/>
      </c>
      <c r="H55">
        <f>IF(SUMIF(Measurement!$B:$B,B55,Measurement!$I:$I)=0,0,G55/SUMIF(Measurement!$B:$B,B55,Measurement!$I:$I))</f>
        <v/>
      </c>
      <c r="I55">
        <f>Measurement!J53</f>
        <v/>
      </c>
      <c r="J55">
        <f>IF(SUMIF(Measurement!$B:$B,B55,Measurement!$J:$J)=0,0,I55/SUMIF(Measurement!$B:$B,B55,Measurement!$J:$J))</f>
        <v/>
      </c>
      <c r="K55">
        <f>IFERROR(VLOOKUP(B55,Environments!$A$5:$K$50,4,FALSE),0)</f>
        <v/>
      </c>
      <c r="L55">
        <f>IFERROR(VLOOKUP(B55,Environments!$A$5:$K$50,5,FALSE),0)</f>
        <v/>
      </c>
      <c r="M55">
        <f>IFERROR(VLOOKUP(B55,Environments!$A$5:$K$50,6,FALSE),0)</f>
        <v/>
      </c>
      <c r="N55">
        <f>IFERROR(VLOOKUP(B55,Environments!$A$5:$K$50,7,FALSE),0)</f>
        <v/>
      </c>
      <c r="O55">
        <f>IFERROR(VLOOKUP(B55,Environments!$A$5:$K$50,11,FALSE),0)</f>
        <v/>
      </c>
      <c r="P55">
        <f>(D55*K55+F55*L55+H55*M55+J55*N55)*Global!$B$5</f>
        <v/>
      </c>
      <c r="Q55">
        <f>IF(SUMIF(Measurement!$B:$B,B55,Measurement!$J:$J)=0,D55*O55,J55*O55)</f>
        <v/>
      </c>
      <c r="R55">
        <f>P55+Q55</f>
        <v/>
      </c>
      <c r="S55" t="n">
        <v>0</v>
      </c>
      <c r="T55">
        <f>R55+S55</f>
        <v/>
      </c>
      <c r="U55">
        <f>T55*12</f>
        <v/>
      </c>
    </row>
    <row r="56">
      <c r="A56">
        <f>Measurement!A54</f>
        <v/>
      </c>
      <c r="B56">
        <f>Measurement!B54</f>
        <v/>
      </c>
      <c r="C56">
        <f>Measurement!G54</f>
        <v/>
      </c>
      <c r="D56">
        <f>IF(SUMIF(Measurement!$B:$B,B56,Measurement!$G:$G)=0,0,C56/SUMIF(Measurement!$B:$B,B56,Measurement!$G:$G))</f>
        <v/>
      </c>
      <c r="E56">
        <f>Measurement!H54</f>
        <v/>
      </c>
      <c r="F56">
        <f>IF(SUMIF(Measurement!$B:$B,B56,Measurement!$H:$H)=0,0,E56/SUMIF(Measurement!$B:$B,B56,Measurement!$H:$H))</f>
        <v/>
      </c>
      <c r="G56">
        <f>Measurement!I54</f>
        <v/>
      </c>
      <c r="H56">
        <f>IF(SUMIF(Measurement!$B:$B,B56,Measurement!$I:$I)=0,0,G56/SUMIF(Measurement!$B:$B,B56,Measurement!$I:$I))</f>
        <v/>
      </c>
      <c r="I56">
        <f>Measurement!J54</f>
        <v/>
      </c>
      <c r="J56">
        <f>IF(SUMIF(Measurement!$B:$B,B56,Measurement!$J:$J)=0,0,I56/SUMIF(Measurement!$B:$B,B56,Measurement!$J:$J))</f>
        <v/>
      </c>
      <c r="K56">
        <f>IFERROR(VLOOKUP(B56,Environments!$A$5:$K$50,4,FALSE),0)</f>
        <v/>
      </c>
      <c r="L56">
        <f>IFERROR(VLOOKUP(B56,Environments!$A$5:$K$50,5,FALSE),0)</f>
        <v/>
      </c>
      <c r="M56">
        <f>IFERROR(VLOOKUP(B56,Environments!$A$5:$K$50,6,FALSE),0)</f>
        <v/>
      </c>
      <c r="N56">
        <f>IFERROR(VLOOKUP(B56,Environments!$A$5:$K$50,7,FALSE),0)</f>
        <v/>
      </c>
      <c r="O56">
        <f>IFERROR(VLOOKUP(B56,Environments!$A$5:$K$50,11,FALSE),0)</f>
        <v/>
      </c>
      <c r="P56">
        <f>(D56*K56+F56*L56+H56*M56+J56*N56)*Global!$B$5</f>
        <v/>
      </c>
      <c r="Q56">
        <f>IF(SUMIF(Measurement!$B:$B,B56,Measurement!$J:$J)=0,D56*O56,J56*O56)</f>
        <v/>
      </c>
      <c r="R56">
        <f>P56+Q56</f>
        <v/>
      </c>
      <c r="S56" t="n">
        <v>0</v>
      </c>
      <c r="T56">
        <f>R56+S56</f>
        <v/>
      </c>
      <c r="U56">
        <f>T56*12</f>
        <v/>
      </c>
    </row>
    <row r="57">
      <c r="A57">
        <f>Measurement!A55</f>
        <v/>
      </c>
      <c r="B57">
        <f>Measurement!B55</f>
        <v/>
      </c>
      <c r="C57">
        <f>Measurement!G55</f>
        <v/>
      </c>
      <c r="D57">
        <f>IF(SUMIF(Measurement!$B:$B,B57,Measurement!$G:$G)=0,0,C57/SUMIF(Measurement!$B:$B,B57,Measurement!$G:$G))</f>
        <v/>
      </c>
      <c r="E57">
        <f>Measurement!H55</f>
        <v/>
      </c>
      <c r="F57">
        <f>IF(SUMIF(Measurement!$B:$B,B57,Measurement!$H:$H)=0,0,E57/SUMIF(Measurement!$B:$B,B57,Measurement!$H:$H))</f>
        <v/>
      </c>
      <c r="G57">
        <f>Measurement!I55</f>
        <v/>
      </c>
      <c r="H57">
        <f>IF(SUMIF(Measurement!$B:$B,B57,Measurement!$I:$I)=0,0,G57/SUMIF(Measurement!$B:$B,B57,Measurement!$I:$I))</f>
        <v/>
      </c>
      <c r="I57">
        <f>Measurement!J55</f>
        <v/>
      </c>
      <c r="J57">
        <f>IF(SUMIF(Measurement!$B:$B,B57,Measurement!$J:$J)=0,0,I57/SUMIF(Measurement!$B:$B,B57,Measurement!$J:$J))</f>
        <v/>
      </c>
      <c r="K57">
        <f>IFERROR(VLOOKUP(B57,Environments!$A$5:$K$50,4,FALSE),0)</f>
        <v/>
      </c>
      <c r="L57">
        <f>IFERROR(VLOOKUP(B57,Environments!$A$5:$K$50,5,FALSE),0)</f>
        <v/>
      </c>
      <c r="M57">
        <f>IFERROR(VLOOKUP(B57,Environments!$A$5:$K$50,6,FALSE),0)</f>
        <v/>
      </c>
      <c r="N57">
        <f>IFERROR(VLOOKUP(B57,Environments!$A$5:$K$50,7,FALSE),0)</f>
        <v/>
      </c>
      <c r="O57">
        <f>IFERROR(VLOOKUP(B57,Environments!$A$5:$K$50,11,FALSE),0)</f>
        <v/>
      </c>
      <c r="P57">
        <f>(D57*K57+F57*L57+H57*M57+J57*N57)*Global!$B$5</f>
        <v/>
      </c>
      <c r="Q57">
        <f>IF(SUMIF(Measurement!$B:$B,B57,Measurement!$J:$J)=0,D57*O57,J57*O57)</f>
        <v/>
      </c>
      <c r="R57">
        <f>P57+Q57</f>
        <v/>
      </c>
      <c r="S57" t="n">
        <v>0</v>
      </c>
      <c r="T57">
        <f>R57+S57</f>
        <v/>
      </c>
      <c r="U57">
        <f>T57*12</f>
        <v/>
      </c>
    </row>
    <row r="58">
      <c r="A58">
        <f>Measurement!A56</f>
        <v/>
      </c>
      <c r="B58">
        <f>Measurement!B56</f>
        <v/>
      </c>
      <c r="C58">
        <f>Measurement!G56</f>
        <v/>
      </c>
      <c r="D58">
        <f>IF(SUMIF(Measurement!$B:$B,B58,Measurement!$G:$G)=0,0,C58/SUMIF(Measurement!$B:$B,B58,Measurement!$G:$G))</f>
        <v/>
      </c>
      <c r="E58">
        <f>Measurement!H56</f>
        <v/>
      </c>
      <c r="F58">
        <f>IF(SUMIF(Measurement!$B:$B,B58,Measurement!$H:$H)=0,0,E58/SUMIF(Measurement!$B:$B,B58,Measurement!$H:$H))</f>
        <v/>
      </c>
      <c r="G58">
        <f>Measurement!I56</f>
        <v/>
      </c>
      <c r="H58">
        <f>IF(SUMIF(Measurement!$B:$B,B58,Measurement!$I:$I)=0,0,G58/SUMIF(Measurement!$B:$B,B58,Measurement!$I:$I))</f>
        <v/>
      </c>
      <c r="I58">
        <f>Measurement!J56</f>
        <v/>
      </c>
      <c r="J58">
        <f>IF(SUMIF(Measurement!$B:$B,B58,Measurement!$J:$J)=0,0,I58/SUMIF(Measurement!$B:$B,B58,Measurement!$J:$J))</f>
        <v/>
      </c>
      <c r="K58">
        <f>IFERROR(VLOOKUP(B58,Environments!$A$5:$K$50,4,FALSE),0)</f>
        <v/>
      </c>
      <c r="L58">
        <f>IFERROR(VLOOKUP(B58,Environments!$A$5:$K$50,5,FALSE),0)</f>
        <v/>
      </c>
      <c r="M58">
        <f>IFERROR(VLOOKUP(B58,Environments!$A$5:$K$50,6,FALSE),0)</f>
        <v/>
      </c>
      <c r="N58">
        <f>IFERROR(VLOOKUP(B58,Environments!$A$5:$K$50,7,FALSE),0)</f>
        <v/>
      </c>
      <c r="O58">
        <f>IFERROR(VLOOKUP(B58,Environments!$A$5:$K$50,11,FALSE),0)</f>
        <v/>
      </c>
      <c r="P58">
        <f>(D58*K58+F58*L58+H58*M58+J58*N58)*Global!$B$5</f>
        <v/>
      </c>
      <c r="Q58">
        <f>IF(SUMIF(Measurement!$B:$B,B58,Measurement!$J:$J)=0,D58*O58,J58*O58)</f>
        <v/>
      </c>
      <c r="R58">
        <f>P58+Q58</f>
        <v/>
      </c>
      <c r="S58" t="n">
        <v>0</v>
      </c>
      <c r="T58">
        <f>R58+S58</f>
        <v/>
      </c>
      <c r="U58">
        <f>T58*12</f>
        <v/>
      </c>
    </row>
    <row r="59">
      <c r="A59">
        <f>Measurement!A57</f>
        <v/>
      </c>
      <c r="B59">
        <f>Measurement!B57</f>
        <v/>
      </c>
      <c r="C59">
        <f>Measurement!G57</f>
        <v/>
      </c>
      <c r="D59">
        <f>IF(SUMIF(Measurement!$B:$B,B59,Measurement!$G:$G)=0,0,C59/SUMIF(Measurement!$B:$B,B59,Measurement!$G:$G))</f>
        <v/>
      </c>
      <c r="E59">
        <f>Measurement!H57</f>
        <v/>
      </c>
      <c r="F59">
        <f>IF(SUMIF(Measurement!$B:$B,B59,Measurement!$H:$H)=0,0,E59/SUMIF(Measurement!$B:$B,B59,Measurement!$H:$H))</f>
        <v/>
      </c>
      <c r="G59">
        <f>Measurement!I57</f>
        <v/>
      </c>
      <c r="H59">
        <f>IF(SUMIF(Measurement!$B:$B,B59,Measurement!$I:$I)=0,0,G59/SUMIF(Measurement!$B:$B,B59,Measurement!$I:$I))</f>
        <v/>
      </c>
      <c r="I59">
        <f>Measurement!J57</f>
        <v/>
      </c>
      <c r="J59">
        <f>IF(SUMIF(Measurement!$B:$B,B59,Measurement!$J:$J)=0,0,I59/SUMIF(Measurement!$B:$B,B59,Measurement!$J:$J))</f>
        <v/>
      </c>
      <c r="K59">
        <f>IFERROR(VLOOKUP(B59,Environments!$A$5:$K$50,4,FALSE),0)</f>
        <v/>
      </c>
      <c r="L59">
        <f>IFERROR(VLOOKUP(B59,Environments!$A$5:$K$50,5,FALSE),0)</f>
        <v/>
      </c>
      <c r="M59">
        <f>IFERROR(VLOOKUP(B59,Environments!$A$5:$K$50,6,FALSE),0)</f>
        <v/>
      </c>
      <c r="N59">
        <f>IFERROR(VLOOKUP(B59,Environments!$A$5:$K$50,7,FALSE),0)</f>
        <v/>
      </c>
      <c r="O59">
        <f>IFERROR(VLOOKUP(B59,Environments!$A$5:$K$50,11,FALSE),0)</f>
        <v/>
      </c>
      <c r="P59">
        <f>(D59*K59+F59*L59+H59*M59+J59*N59)*Global!$B$5</f>
        <v/>
      </c>
      <c r="Q59">
        <f>IF(SUMIF(Measurement!$B:$B,B59,Measurement!$J:$J)=0,D59*O59,J59*O59)</f>
        <v/>
      </c>
      <c r="R59">
        <f>P59+Q59</f>
        <v/>
      </c>
      <c r="S59" t="n">
        <v>0</v>
      </c>
      <c r="T59">
        <f>R59+S59</f>
        <v/>
      </c>
      <c r="U59">
        <f>T59*12</f>
        <v/>
      </c>
    </row>
    <row r="60">
      <c r="A60">
        <f>Measurement!A58</f>
        <v/>
      </c>
      <c r="B60">
        <f>Measurement!B58</f>
        <v/>
      </c>
      <c r="C60">
        <f>Measurement!G58</f>
        <v/>
      </c>
      <c r="D60">
        <f>IF(SUMIF(Measurement!$B:$B,B60,Measurement!$G:$G)=0,0,C60/SUMIF(Measurement!$B:$B,B60,Measurement!$G:$G))</f>
        <v/>
      </c>
      <c r="E60">
        <f>Measurement!H58</f>
        <v/>
      </c>
      <c r="F60">
        <f>IF(SUMIF(Measurement!$B:$B,B60,Measurement!$H:$H)=0,0,E60/SUMIF(Measurement!$B:$B,B60,Measurement!$H:$H))</f>
        <v/>
      </c>
      <c r="G60">
        <f>Measurement!I58</f>
        <v/>
      </c>
      <c r="H60">
        <f>IF(SUMIF(Measurement!$B:$B,B60,Measurement!$I:$I)=0,0,G60/SUMIF(Measurement!$B:$B,B60,Measurement!$I:$I))</f>
        <v/>
      </c>
      <c r="I60">
        <f>Measurement!J58</f>
        <v/>
      </c>
      <c r="J60">
        <f>IF(SUMIF(Measurement!$B:$B,B60,Measurement!$J:$J)=0,0,I60/SUMIF(Measurement!$B:$B,B60,Measurement!$J:$J))</f>
        <v/>
      </c>
      <c r="K60">
        <f>IFERROR(VLOOKUP(B60,Environments!$A$5:$K$50,4,FALSE),0)</f>
        <v/>
      </c>
      <c r="L60">
        <f>IFERROR(VLOOKUP(B60,Environments!$A$5:$K$50,5,FALSE),0)</f>
        <v/>
      </c>
      <c r="M60">
        <f>IFERROR(VLOOKUP(B60,Environments!$A$5:$K$50,6,FALSE),0)</f>
        <v/>
      </c>
      <c r="N60">
        <f>IFERROR(VLOOKUP(B60,Environments!$A$5:$K$50,7,FALSE),0)</f>
        <v/>
      </c>
      <c r="O60">
        <f>IFERROR(VLOOKUP(B60,Environments!$A$5:$K$50,11,FALSE),0)</f>
        <v/>
      </c>
      <c r="P60">
        <f>(D60*K60+F60*L60+H60*M60+J60*N60)*Global!$B$5</f>
        <v/>
      </c>
      <c r="Q60">
        <f>IF(SUMIF(Measurement!$B:$B,B60,Measurement!$J:$J)=0,D60*O60,J60*O60)</f>
        <v/>
      </c>
      <c r="R60">
        <f>P60+Q60</f>
        <v/>
      </c>
      <c r="S60" t="n">
        <v>0</v>
      </c>
      <c r="T60">
        <f>R60+S60</f>
        <v/>
      </c>
      <c r="U60">
        <f>T60*12</f>
        <v/>
      </c>
    </row>
    <row r="61">
      <c r="A61">
        <f>Measurement!A59</f>
        <v/>
      </c>
      <c r="B61">
        <f>Measurement!B59</f>
        <v/>
      </c>
      <c r="C61">
        <f>Measurement!G59</f>
        <v/>
      </c>
      <c r="D61">
        <f>IF(SUMIF(Measurement!$B:$B,B61,Measurement!$G:$G)=0,0,C61/SUMIF(Measurement!$B:$B,B61,Measurement!$G:$G))</f>
        <v/>
      </c>
      <c r="E61">
        <f>Measurement!H59</f>
        <v/>
      </c>
      <c r="F61">
        <f>IF(SUMIF(Measurement!$B:$B,B61,Measurement!$H:$H)=0,0,E61/SUMIF(Measurement!$B:$B,B61,Measurement!$H:$H))</f>
        <v/>
      </c>
      <c r="G61">
        <f>Measurement!I59</f>
        <v/>
      </c>
      <c r="H61">
        <f>IF(SUMIF(Measurement!$B:$B,B61,Measurement!$I:$I)=0,0,G61/SUMIF(Measurement!$B:$B,B61,Measurement!$I:$I))</f>
        <v/>
      </c>
      <c r="I61">
        <f>Measurement!J59</f>
        <v/>
      </c>
      <c r="J61">
        <f>IF(SUMIF(Measurement!$B:$B,B61,Measurement!$J:$J)=0,0,I61/SUMIF(Measurement!$B:$B,B61,Measurement!$J:$J))</f>
        <v/>
      </c>
      <c r="K61">
        <f>IFERROR(VLOOKUP(B61,Environments!$A$5:$K$50,4,FALSE),0)</f>
        <v/>
      </c>
      <c r="L61">
        <f>IFERROR(VLOOKUP(B61,Environments!$A$5:$K$50,5,FALSE),0)</f>
        <v/>
      </c>
      <c r="M61">
        <f>IFERROR(VLOOKUP(B61,Environments!$A$5:$K$50,6,FALSE),0)</f>
        <v/>
      </c>
      <c r="N61">
        <f>IFERROR(VLOOKUP(B61,Environments!$A$5:$K$50,7,FALSE),0)</f>
        <v/>
      </c>
      <c r="O61">
        <f>IFERROR(VLOOKUP(B61,Environments!$A$5:$K$50,11,FALSE),0)</f>
        <v/>
      </c>
      <c r="P61">
        <f>(D61*K61+F61*L61+H61*M61+J61*N61)*Global!$B$5</f>
        <v/>
      </c>
      <c r="Q61">
        <f>IF(SUMIF(Measurement!$B:$B,B61,Measurement!$J:$J)=0,D61*O61,J61*O61)</f>
        <v/>
      </c>
      <c r="R61">
        <f>P61+Q61</f>
        <v/>
      </c>
      <c r="S61" t="n">
        <v>0</v>
      </c>
      <c r="T61">
        <f>R61+S61</f>
        <v/>
      </c>
      <c r="U61">
        <f>T61*12</f>
        <v/>
      </c>
    </row>
    <row r="62">
      <c r="A62">
        <f>Measurement!A60</f>
        <v/>
      </c>
      <c r="B62">
        <f>Measurement!B60</f>
        <v/>
      </c>
      <c r="C62">
        <f>Measurement!G60</f>
        <v/>
      </c>
      <c r="D62">
        <f>IF(SUMIF(Measurement!$B:$B,B62,Measurement!$G:$G)=0,0,C62/SUMIF(Measurement!$B:$B,B62,Measurement!$G:$G))</f>
        <v/>
      </c>
      <c r="E62">
        <f>Measurement!H60</f>
        <v/>
      </c>
      <c r="F62">
        <f>IF(SUMIF(Measurement!$B:$B,B62,Measurement!$H:$H)=0,0,E62/SUMIF(Measurement!$B:$B,B62,Measurement!$H:$H))</f>
        <v/>
      </c>
      <c r="G62">
        <f>Measurement!I60</f>
        <v/>
      </c>
      <c r="H62">
        <f>IF(SUMIF(Measurement!$B:$B,B62,Measurement!$I:$I)=0,0,G62/SUMIF(Measurement!$B:$B,B62,Measurement!$I:$I))</f>
        <v/>
      </c>
      <c r="I62">
        <f>Measurement!J60</f>
        <v/>
      </c>
      <c r="J62">
        <f>IF(SUMIF(Measurement!$B:$B,B62,Measurement!$J:$J)=0,0,I62/SUMIF(Measurement!$B:$B,B62,Measurement!$J:$J))</f>
        <v/>
      </c>
      <c r="K62">
        <f>IFERROR(VLOOKUP(B62,Environments!$A$5:$K$50,4,FALSE),0)</f>
        <v/>
      </c>
      <c r="L62">
        <f>IFERROR(VLOOKUP(B62,Environments!$A$5:$K$50,5,FALSE),0)</f>
        <v/>
      </c>
      <c r="M62">
        <f>IFERROR(VLOOKUP(B62,Environments!$A$5:$K$50,6,FALSE),0)</f>
        <v/>
      </c>
      <c r="N62">
        <f>IFERROR(VLOOKUP(B62,Environments!$A$5:$K$50,7,FALSE),0)</f>
        <v/>
      </c>
      <c r="O62">
        <f>IFERROR(VLOOKUP(B62,Environments!$A$5:$K$50,11,FALSE),0)</f>
        <v/>
      </c>
      <c r="P62">
        <f>(D62*K62+F62*L62+H62*M62+J62*N62)*Global!$B$5</f>
        <v/>
      </c>
      <c r="Q62">
        <f>IF(SUMIF(Measurement!$B:$B,B62,Measurement!$J:$J)=0,D62*O62,J62*O62)</f>
        <v/>
      </c>
      <c r="R62">
        <f>P62+Q62</f>
        <v/>
      </c>
      <c r="S62" t="n">
        <v>0</v>
      </c>
      <c r="T62">
        <f>R62+S62</f>
        <v/>
      </c>
      <c r="U62">
        <f>T62*12</f>
        <v/>
      </c>
    </row>
    <row r="63">
      <c r="A63">
        <f>Measurement!A61</f>
        <v/>
      </c>
      <c r="B63">
        <f>Measurement!B61</f>
        <v/>
      </c>
      <c r="C63">
        <f>Measurement!G61</f>
        <v/>
      </c>
      <c r="D63">
        <f>IF(SUMIF(Measurement!$B:$B,B63,Measurement!$G:$G)=0,0,C63/SUMIF(Measurement!$B:$B,B63,Measurement!$G:$G))</f>
        <v/>
      </c>
      <c r="E63">
        <f>Measurement!H61</f>
        <v/>
      </c>
      <c r="F63">
        <f>IF(SUMIF(Measurement!$B:$B,B63,Measurement!$H:$H)=0,0,E63/SUMIF(Measurement!$B:$B,B63,Measurement!$H:$H))</f>
        <v/>
      </c>
      <c r="G63">
        <f>Measurement!I61</f>
        <v/>
      </c>
      <c r="H63">
        <f>IF(SUMIF(Measurement!$B:$B,B63,Measurement!$I:$I)=0,0,G63/SUMIF(Measurement!$B:$B,B63,Measurement!$I:$I))</f>
        <v/>
      </c>
      <c r="I63">
        <f>Measurement!J61</f>
        <v/>
      </c>
      <c r="J63">
        <f>IF(SUMIF(Measurement!$B:$B,B63,Measurement!$J:$J)=0,0,I63/SUMIF(Measurement!$B:$B,B63,Measurement!$J:$J))</f>
        <v/>
      </c>
      <c r="K63">
        <f>IFERROR(VLOOKUP(B63,Environments!$A$5:$K$50,4,FALSE),0)</f>
        <v/>
      </c>
      <c r="L63">
        <f>IFERROR(VLOOKUP(B63,Environments!$A$5:$K$50,5,FALSE),0)</f>
        <v/>
      </c>
      <c r="M63">
        <f>IFERROR(VLOOKUP(B63,Environments!$A$5:$K$50,6,FALSE),0)</f>
        <v/>
      </c>
      <c r="N63">
        <f>IFERROR(VLOOKUP(B63,Environments!$A$5:$K$50,7,FALSE),0)</f>
        <v/>
      </c>
      <c r="O63">
        <f>IFERROR(VLOOKUP(B63,Environments!$A$5:$K$50,11,FALSE),0)</f>
        <v/>
      </c>
      <c r="P63">
        <f>(D63*K63+F63*L63+H63*M63+J63*N63)*Global!$B$5</f>
        <v/>
      </c>
      <c r="Q63">
        <f>IF(SUMIF(Measurement!$B:$B,B63,Measurement!$J:$J)=0,D63*O63,J63*O63)</f>
        <v/>
      </c>
      <c r="R63">
        <f>P63+Q63</f>
        <v/>
      </c>
      <c r="S63" t="n">
        <v>0</v>
      </c>
      <c r="T63">
        <f>R63+S63</f>
        <v/>
      </c>
      <c r="U63">
        <f>T63*12</f>
        <v/>
      </c>
    </row>
    <row r="64">
      <c r="A64">
        <f>Measurement!A62</f>
        <v/>
      </c>
      <c r="B64">
        <f>Measurement!B62</f>
        <v/>
      </c>
      <c r="C64">
        <f>Measurement!G62</f>
        <v/>
      </c>
      <c r="D64">
        <f>IF(SUMIF(Measurement!$B:$B,B64,Measurement!$G:$G)=0,0,C64/SUMIF(Measurement!$B:$B,B64,Measurement!$G:$G))</f>
        <v/>
      </c>
      <c r="E64">
        <f>Measurement!H62</f>
        <v/>
      </c>
      <c r="F64">
        <f>IF(SUMIF(Measurement!$B:$B,B64,Measurement!$H:$H)=0,0,E64/SUMIF(Measurement!$B:$B,B64,Measurement!$H:$H))</f>
        <v/>
      </c>
      <c r="G64">
        <f>Measurement!I62</f>
        <v/>
      </c>
      <c r="H64">
        <f>IF(SUMIF(Measurement!$B:$B,B64,Measurement!$I:$I)=0,0,G64/SUMIF(Measurement!$B:$B,B64,Measurement!$I:$I))</f>
        <v/>
      </c>
      <c r="I64">
        <f>Measurement!J62</f>
        <v/>
      </c>
      <c r="J64">
        <f>IF(SUMIF(Measurement!$B:$B,B64,Measurement!$J:$J)=0,0,I64/SUMIF(Measurement!$B:$B,B64,Measurement!$J:$J))</f>
        <v/>
      </c>
      <c r="K64">
        <f>IFERROR(VLOOKUP(B64,Environments!$A$5:$K$50,4,FALSE),0)</f>
        <v/>
      </c>
      <c r="L64">
        <f>IFERROR(VLOOKUP(B64,Environments!$A$5:$K$50,5,FALSE),0)</f>
        <v/>
      </c>
      <c r="M64">
        <f>IFERROR(VLOOKUP(B64,Environments!$A$5:$K$50,6,FALSE),0)</f>
        <v/>
      </c>
      <c r="N64">
        <f>IFERROR(VLOOKUP(B64,Environments!$A$5:$K$50,7,FALSE),0)</f>
        <v/>
      </c>
      <c r="O64">
        <f>IFERROR(VLOOKUP(B64,Environments!$A$5:$K$50,11,FALSE),0)</f>
        <v/>
      </c>
      <c r="P64">
        <f>(D64*K64+F64*L64+H64*M64+J64*N64)*Global!$B$5</f>
        <v/>
      </c>
      <c r="Q64">
        <f>IF(SUMIF(Measurement!$B:$B,B64,Measurement!$J:$J)=0,D64*O64,J64*O64)</f>
        <v/>
      </c>
      <c r="R64">
        <f>P64+Q64</f>
        <v/>
      </c>
      <c r="S64" t="n">
        <v>0</v>
      </c>
      <c r="T64">
        <f>R64+S64</f>
        <v/>
      </c>
      <c r="U64">
        <f>T64*12</f>
        <v/>
      </c>
    </row>
    <row r="65">
      <c r="A65">
        <f>Measurement!A63</f>
        <v/>
      </c>
      <c r="B65">
        <f>Measurement!B63</f>
        <v/>
      </c>
      <c r="C65">
        <f>Measurement!G63</f>
        <v/>
      </c>
      <c r="D65">
        <f>IF(SUMIF(Measurement!$B:$B,B65,Measurement!$G:$G)=0,0,C65/SUMIF(Measurement!$B:$B,B65,Measurement!$G:$G))</f>
        <v/>
      </c>
      <c r="E65">
        <f>Measurement!H63</f>
        <v/>
      </c>
      <c r="F65">
        <f>IF(SUMIF(Measurement!$B:$B,B65,Measurement!$H:$H)=0,0,E65/SUMIF(Measurement!$B:$B,B65,Measurement!$H:$H))</f>
        <v/>
      </c>
      <c r="G65">
        <f>Measurement!I63</f>
        <v/>
      </c>
      <c r="H65">
        <f>IF(SUMIF(Measurement!$B:$B,B65,Measurement!$I:$I)=0,0,G65/SUMIF(Measurement!$B:$B,B65,Measurement!$I:$I))</f>
        <v/>
      </c>
      <c r="I65">
        <f>Measurement!J63</f>
        <v/>
      </c>
      <c r="J65">
        <f>IF(SUMIF(Measurement!$B:$B,B65,Measurement!$J:$J)=0,0,I65/SUMIF(Measurement!$B:$B,B65,Measurement!$J:$J))</f>
        <v/>
      </c>
      <c r="K65">
        <f>IFERROR(VLOOKUP(B65,Environments!$A$5:$K$50,4,FALSE),0)</f>
        <v/>
      </c>
      <c r="L65">
        <f>IFERROR(VLOOKUP(B65,Environments!$A$5:$K$50,5,FALSE),0)</f>
        <v/>
      </c>
      <c r="M65">
        <f>IFERROR(VLOOKUP(B65,Environments!$A$5:$K$50,6,FALSE),0)</f>
        <v/>
      </c>
      <c r="N65">
        <f>IFERROR(VLOOKUP(B65,Environments!$A$5:$K$50,7,FALSE),0)</f>
        <v/>
      </c>
      <c r="O65">
        <f>IFERROR(VLOOKUP(B65,Environments!$A$5:$K$50,11,FALSE),0)</f>
        <v/>
      </c>
      <c r="P65">
        <f>(D65*K65+F65*L65+H65*M65+J65*N65)*Global!$B$5</f>
        <v/>
      </c>
      <c r="Q65">
        <f>IF(SUMIF(Measurement!$B:$B,B65,Measurement!$J:$J)=0,D65*O65,J65*O65)</f>
        <v/>
      </c>
      <c r="R65">
        <f>P65+Q65</f>
        <v/>
      </c>
      <c r="S65" t="n">
        <v>0</v>
      </c>
      <c r="T65">
        <f>R65+S65</f>
        <v/>
      </c>
      <c r="U65">
        <f>T65*12</f>
        <v/>
      </c>
    </row>
    <row r="66">
      <c r="A66">
        <f>Measurement!A64</f>
        <v/>
      </c>
      <c r="B66">
        <f>Measurement!B64</f>
        <v/>
      </c>
      <c r="C66">
        <f>Measurement!G64</f>
        <v/>
      </c>
      <c r="D66">
        <f>IF(SUMIF(Measurement!$B:$B,B66,Measurement!$G:$G)=0,0,C66/SUMIF(Measurement!$B:$B,B66,Measurement!$G:$G))</f>
        <v/>
      </c>
      <c r="E66">
        <f>Measurement!H64</f>
        <v/>
      </c>
      <c r="F66">
        <f>IF(SUMIF(Measurement!$B:$B,B66,Measurement!$H:$H)=0,0,E66/SUMIF(Measurement!$B:$B,B66,Measurement!$H:$H))</f>
        <v/>
      </c>
      <c r="G66">
        <f>Measurement!I64</f>
        <v/>
      </c>
      <c r="H66">
        <f>IF(SUMIF(Measurement!$B:$B,B66,Measurement!$I:$I)=0,0,G66/SUMIF(Measurement!$B:$B,B66,Measurement!$I:$I))</f>
        <v/>
      </c>
      <c r="I66">
        <f>Measurement!J64</f>
        <v/>
      </c>
      <c r="J66">
        <f>IF(SUMIF(Measurement!$B:$B,B66,Measurement!$J:$J)=0,0,I66/SUMIF(Measurement!$B:$B,B66,Measurement!$J:$J))</f>
        <v/>
      </c>
      <c r="K66">
        <f>IFERROR(VLOOKUP(B66,Environments!$A$5:$K$50,4,FALSE),0)</f>
        <v/>
      </c>
      <c r="L66">
        <f>IFERROR(VLOOKUP(B66,Environments!$A$5:$K$50,5,FALSE),0)</f>
        <v/>
      </c>
      <c r="M66">
        <f>IFERROR(VLOOKUP(B66,Environments!$A$5:$K$50,6,FALSE),0)</f>
        <v/>
      </c>
      <c r="N66">
        <f>IFERROR(VLOOKUP(B66,Environments!$A$5:$K$50,7,FALSE),0)</f>
        <v/>
      </c>
      <c r="O66">
        <f>IFERROR(VLOOKUP(B66,Environments!$A$5:$K$50,11,FALSE),0)</f>
        <v/>
      </c>
      <c r="P66">
        <f>(D66*K66+F66*L66+H66*M66+J66*N66)*Global!$B$5</f>
        <v/>
      </c>
      <c r="Q66">
        <f>IF(SUMIF(Measurement!$B:$B,B66,Measurement!$J:$J)=0,D66*O66,J66*O66)</f>
        <v/>
      </c>
      <c r="R66">
        <f>P66+Q66</f>
        <v/>
      </c>
      <c r="S66" t="n">
        <v>0</v>
      </c>
      <c r="T66">
        <f>R66+S66</f>
        <v/>
      </c>
      <c r="U66">
        <f>T66*12</f>
        <v/>
      </c>
    </row>
    <row r="67">
      <c r="A67">
        <f>Measurement!A65</f>
        <v/>
      </c>
      <c r="B67">
        <f>Measurement!B65</f>
        <v/>
      </c>
      <c r="C67">
        <f>Measurement!G65</f>
        <v/>
      </c>
      <c r="D67">
        <f>IF(SUMIF(Measurement!$B:$B,B67,Measurement!$G:$G)=0,0,C67/SUMIF(Measurement!$B:$B,B67,Measurement!$G:$G))</f>
        <v/>
      </c>
      <c r="E67">
        <f>Measurement!H65</f>
        <v/>
      </c>
      <c r="F67">
        <f>IF(SUMIF(Measurement!$B:$B,B67,Measurement!$H:$H)=0,0,E67/SUMIF(Measurement!$B:$B,B67,Measurement!$H:$H))</f>
        <v/>
      </c>
      <c r="G67">
        <f>Measurement!I65</f>
        <v/>
      </c>
      <c r="H67">
        <f>IF(SUMIF(Measurement!$B:$B,B67,Measurement!$I:$I)=0,0,G67/SUMIF(Measurement!$B:$B,B67,Measurement!$I:$I))</f>
        <v/>
      </c>
      <c r="I67">
        <f>Measurement!J65</f>
        <v/>
      </c>
      <c r="J67">
        <f>IF(SUMIF(Measurement!$B:$B,B67,Measurement!$J:$J)=0,0,I67/SUMIF(Measurement!$B:$B,B67,Measurement!$J:$J))</f>
        <v/>
      </c>
      <c r="K67">
        <f>IFERROR(VLOOKUP(B67,Environments!$A$5:$K$50,4,FALSE),0)</f>
        <v/>
      </c>
      <c r="L67">
        <f>IFERROR(VLOOKUP(B67,Environments!$A$5:$K$50,5,FALSE),0)</f>
        <v/>
      </c>
      <c r="M67">
        <f>IFERROR(VLOOKUP(B67,Environments!$A$5:$K$50,6,FALSE),0)</f>
        <v/>
      </c>
      <c r="N67">
        <f>IFERROR(VLOOKUP(B67,Environments!$A$5:$K$50,7,FALSE),0)</f>
        <v/>
      </c>
      <c r="O67">
        <f>IFERROR(VLOOKUP(B67,Environments!$A$5:$K$50,11,FALSE),0)</f>
        <v/>
      </c>
      <c r="P67">
        <f>(D67*K67+F67*L67+H67*M67+J67*N67)*Global!$B$5</f>
        <v/>
      </c>
      <c r="Q67">
        <f>IF(SUMIF(Measurement!$B:$B,B67,Measurement!$J:$J)=0,D67*O67,J67*O67)</f>
        <v/>
      </c>
      <c r="R67">
        <f>P67+Q67</f>
        <v/>
      </c>
      <c r="S67" t="n">
        <v>0</v>
      </c>
      <c r="T67">
        <f>R67+S67</f>
        <v/>
      </c>
      <c r="U67">
        <f>T67*12</f>
        <v/>
      </c>
    </row>
    <row r="68">
      <c r="A68">
        <f>Measurement!A66</f>
        <v/>
      </c>
      <c r="B68">
        <f>Measurement!B66</f>
        <v/>
      </c>
      <c r="C68">
        <f>Measurement!G66</f>
        <v/>
      </c>
      <c r="D68">
        <f>IF(SUMIF(Measurement!$B:$B,B68,Measurement!$G:$G)=0,0,C68/SUMIF(Measurement!$B:$B,B68,Measurement!$G:$G))</f>
        <v/>
      </c>
      <c r="E68">
        <f>Measurement!H66</f>
        <v/>
      </c>
      <c r="F68">
        <f>IF(SUMIF(Measurement!$B:$B,B68,Measurement!$H:$H)=0,0,E68/SUMIF(Measurement!$B:$B,B68,Measurement!$H:$H))</f>
        <v/>
      </c>
      <c r="G68">
        <f>Measurement!I66</f>
        <v/>
      </c>
      <c r="H68">
        <f>IF(SUMIF(Measurement!$B:$B,B68,Measurement!$I:$I)=0,0,G68/SUMIF(Measurement!$B:$B,B68,Measurement!$I:$I))</f>
        <v/>
      </c>
      <c r="I68">
        <f>Measurement!J66</f>
        <v/>
      </c>
      <c r="J68">
        <f>IF(SUMIF(Measurement!$B:$B,B68,Measurement!$J:$J)=0,0,I68/SUMIF(Measurement!$B:$B,B68,Measurement!$J:$J))</f>
        <v/>
      </c>
      <c r="K68">
        <f>IFERROR(VLOOKUP(B68,Environments!$A$5:$K$50,4,FALSE),0)</f>
        <v/>
      </c>
      <c r="L68">
        <f>IFERROR(VLOOKUP(B68,Environments!$A$5:$K$50,5,FALSE),0)</f>
        <v/>
      </c>
      <c r="M68">
        <f>IFERROR(VLOOKUP(B68,Environments!$A$5:$K$50,6,FALSE),0)</f>
        <v/>
      </c>
      <c r="N68">
        <f>IFERROR(VLOOKUP(B68,Environments!$A$5:$K$50,7,FALSE),0)</f>
        <v/>
      </c>
      <c r="O68">
        <f>IFERROR(VLOOKUP(B68,Environments!$A$5:$K$50,11,FALSE),0)</f>
        <v/>
      </c>
      <c r="P68">
        <f>(D68*K68+F68*L68+H68*M68+J68*N68)*Global!$B$5</f>
        <v/>
      </c>
      <c r="Q68">
        <f>IF(SUMIF(Measurement!$B:$B,B68,Measurement!$J:$J)=0,D68*O68,J68*O68)</f>
        <v/>
      </c>
      <c r="R68">
        <f>P68+Q68</f>
        <v/>
      </c>
      <c r="S68" t="n">
        <v>0</v>
      </c>
      <c r="T68">
        <f>R68+S68</f>
        <v/>
      </c>
      <c r="U68">
        <f>T68*12</f>
        <v/>
      </c>
    </row>
    <row r="69">
      <c r="A69">
        <f>Measurement!A67</f>
        <v/>
      </c>
      <c r="B69">
        <f>Measurement!B67</f>
        <v/>
      </c>
      <c r="C69">
        <f>Measurement!G67</f>
        <v/>
      </c>
      <c r="D69">
        <f>IF(SUMIF(Measurement!$B:$B,B69,Measurement!$G:$G)=0,0,C69/SUMIF(Measurement!$B:$B,B69,Measurement!$G:$G))</f>
        <v/>
      </c>
      <c r="E69">
        <f>Measurement!H67</f>
        <v/>
      </c>
      <c r="F69">
        <f>IF(SUMIF(Measurement!$B:$B,B69,Measurement!$H:$H)=0,0,E69/SUMIF(Measurement!$B:$B,B69,Measurement!$H:$H))</f>
        <v/>
      </c>
      <c r="G69">
        <f>Measurement!I67</f>
        <v/>
      </c>
      <c r="H69">
        <f>IF(SUMIF(Measurement!$B:$B,B69,Measurement!$I:$I)=0,0,G69/SUMIF(Measurement!$B:$B,B69,Measurement!$I:$I))</f>
        <v/>
      </c>
      <c r="I69">
        <f>Measurement!J67</f>
        <v/>
      </c>
      <c r="J69">
        <f>IF(SUMIF(Measurement!$B:$B,B69,Measurement!$J:$J)=0,0,I69/SUMIF(Measurement!$B:$B,B69,Measurement!$J:$J))</f>
        <v/>
      </c>
      <c r="K69">
        <f>IFERROR(VLOOKUP(B69,Environments!$A$5:$K$50,4,FALSE),0)</f>
        <v/>
      </c>
      <c r="L69">
        <f>IFERROR(VLOOKUP(B69,Environments!$A$5:$K$50,5,FALSE),0)</f>
        <v/>
      </c>
      <c r="M69">
        <f>IFERROR(VLOOKUP(B69,Environments!$A$5:$K$50,6,FALSE),0)</f>
        <v/>
      </c>
      <c r="N69">
        <f>IFERROR(VLOOKUP(B69,Environments!$A$5:$K$50,7,FALSE),0)</f>
        <v/>
      </c>
      <c r="O69">
        <f>IFERROR(VLOOKUP(B69,Environments!$A$5:$K$50,11,FALSE),0)</f>
        <v/>
      </c>
      <c r="P69">
        <f>(D69*K69+F69*L69+H69*M69+J69*N69)*Global!$B$5</f>
        <v/>
      </c>
      <c r="Q69">
        <f>IF(SUMIF(Measurement!$B:$B,B69,Measurement!$J:$J)=0,D69*O69,J69*O69)</f>
        <v/>
      </c>
      <c r="R69">
        <f>P69+Q69</f>
        <v/>
      </c>
      <c r="S69" t="n">
        <v>0</v>
      </c>
      <c r="T69">
        <f>R69+S69</f>
        <v/>
      </c>
      <c r="U69">
        <f>T69*12</f>
        <v/>
      </c>
    </row>
    <row r="70">
      <c r="A70">
        <f>Measurement!A68</f>
        <v/>
      </c>
      <c r="B70">
        <f>Measurement!B68</f>
        <v/>
      </c>
      <c r="C70">
        <f>Measurement!G68</f>
        <v/>
      </c>
      <c r="D70">
        <f>IF(SUMIF(Measurement!$B:$B,B70,Measurement!$G:$G)=0,0,C70/SUMIF(Measurement!$B:$B,B70,Measurement!$G:$G))</f>
        <v/>
      </c>
      <c r="E70">
        <f>Measurement!H68</f>
        <v/>
      </c>
      <c r="F70">
        <f>IF(SUMIF(Measurement!$B:$B,B70,Measurement!$H:$H)=0,0,E70/SUMIF(Measurement!$B:$B,B70,Measurement!$H:$H))</f>
        <v/>
      </c>
      <c r="G70">
        <f>Measurement!I68</f>
        <v/>
      </c>
      <c r="H70">
        <f>IF(SUMIF(Measurement!$B:$B,B70,Measurement!$I:$I)=0,0,G70/SUMIF(Measurement!$B:$B,B70,Measurement!$I:$I))</f>
        <v/>
      </c>
      <c r="I70">
        <f>Measurement!J68</f>
        <v/>
      </c>
      <c r="J70">
        <f>IF(SUMIF(Measurement!$B:$B,B70,Measurement!$J:$J)=0,0,I70/SUMIF(Measurement!$B:$B,B70,Measurement!$J:$J))</f>
        <v/>
      </c>
      <c r="K70">
        <f>IFERROR(VLOOKUP(B70,Environments!$A$5:$K$50,4,FALSE),0)</f>
        <v/>
      </c>
      <c r="L70">
        <f>IFERROR(VLOOKUP(B70,Environments!$A$5:$K$50,5,FALSE),0)</f>
        <v/>
      </c>
      <c r="M70">
        <f>IFERROR(VLOOKUP(B70,Environments!$A$5:$K$50,6,FALSE),0)</f>
        <v/>
      </c>
      <c r="N70">
        <f>IFERROR(VLOOKUP(B70,Environments!$A$5:$K$50,7,FALSE),0)</f>
        <v/>
      </c>
      <c r="O70">
        <f>IFERROR(VLOOKUP(B70,Environments!$A$5:$K$50,11,FALSE),0)</f>
        <v/>
      </c>
      <c r="P70">
        <f>(D70*K70+F70*L70+H70*M70+J70*N70)*Global!$B$5</f>
        <v/>
      </c>
      <c r="Q70">
        <f>IF(SUMIF(Measurement!$B:$B,B70,Measurement!$J:$J)=0,D70*O70,J70*O70)</f>
        <v/>
      </c>
      <c r="R70">
        <f>P70+Q70</f>
        <v/>
      </c>
      <c r="S70" t="n">
        <v>0</v>
      </c>
      <c r="T70">
        <f>R70+S70</f>
        <v/>
      </c>
      <c r="U70">
        <f>T70*12</f>
        <v/>
      </c>
    </row>
    <row r="71">
      <c r="A71">
        <f>Measurement!A69</f>
        <v/>
      </c>
      <c r="B71">
        <f>Measurement!B69</f>
        <v/>
      </c>
      <c r="C71">
        <f>Measurement!G69</f>
        <v/>
      </c>
      <c r="D71">
        <f>IF(SUMIF(Measurement!$B:$B,B71,Measurement!$G:$G)=0,0,C71/SUMIF(Measurement!$B:$B,B71,Measurement!$G:$G))</f>
        <v/>
      </c>
      <c r="E71">
        <f>Measurement!H69</f>
        <v/>
      </c>
      <c r="F71">
        <f>IF(SUMIF(Measurement!$B:$B,B71,Measurement!$H:$H)=0,0,E71/SUMIF(Measurement!$B:$B,B71,Measurement!$H:$H))</f>
        <v/>
      </c>
      <c r="G71">
        <f>Measurement!I69</f>
        <v/>
      </c>
      <c r="H71">
        <f>IF(SUMIF(Measurement!$B:$B,B71,Measurement!$I:$I)=0,0,G71/SUMIF(Measurement!$B:$B,B71,Measurement!$I:$I))</f>
        <v/>
      </c>
      <c r="I71">
        <f>Measurement!J69</f>
        <v/>
      </c>
      <c r="J71">
        <f>IF(SUMIF(Measurement!$B:$B,B71,Measurement!$J:$J)=0,0,I71/SUMIF(Measurement!$B:$B,B71,Measurement!$J:$J))</f>
        <v/>
      </c>
      <c r="K71">
        <f>IFERROR(VLOOKUP(B71,Environments!$A$5:$K$50,4,FALSE),0)</f>
        <v/>
      </c>
      <c r="L71">
        <f>IFERROR(VLOOKUP(B71,Environments!$A$5:$K$50,5,FALSE),0)</f>
        <v/>
      </c>
      <c r="M71">
        <f>IFERROR(VLOOKUP(B71,Environments!$A$5:$K$50,6,FALSE),0)</f>
        <v/>
      </c>
      <c r="N71">
        <f>IFERROR(VLOOKUP(B71,Environments!$A$5:$K$50,7,FALSE),0)</f>
        <v/>
      </c>
      <c r="O71">
        <f>IFERROR(VLOOKUP(B71,Environments!$A$5:$K$50,11,FALSE),0)</f>
        <v/>
      </c>
      <c r="P71">
        <f>(D71*K71+F71*L71+H71*M71+J71*N71)*Global!$B$5</f>
        <v/>
      </c>
      <c r="Q71">
        <f>IF(SUMIF(Measurement!$B:$B,B71,Measurement!$J:$J)=0,D71*O71,J71*O71)</f>
        <v/>
      </c>
      <c r="R71">
        <f>P71+Q71</f>
        <v/>
      </c>
      <c r="S71" t="n">
        <v>0</v>
      </c>
      <c r="T71">
        <f>R71+S71</f>
        <v/>
      </c>
      <c r="U71">
        <f>T71*12</f>
        <v/>
      </c>
    </row>
    <row r="72">
      <c r="A72">
        <f>Measurement!A70</f>
        <v/>
      </c>
      <c r="B72">
        <f>Measurement!B70</f>
        <v/>
      </c>
      <c r="C72">
        <f>Measurement!G70</f>
        <v/>
      </c>
      <c r="D72">
        <f>IF(SUMIF(Measurement!$B:$B,B72,Measurement!$G:$G)=0,0,C72/SUMIF(Measurement!$B:$B,B72,Measurement!$G:$G))</f>
        <v/>
      </c>
      <c r="E72">
        <f>Measurement!H70</f>
        <v/>
      </c>
      <c r="F72">
        <f>IF(SUMIF(Measurement!$B:$B,B72,Measurement!$H:$H)=0,0,E72/SUMIF(Measurement!$B:$B,B72,Measurement!$H:$H))</f>
        <v/>
      </c>
      <c r="G72">
        <f>Measurement!I70</f>
        <v/>
      </c>
      <c r="H72">
        <f>IF(SUMIF(Measurement!$B:$B,B72,Measurement!$I:$I)=0,0,G72/SUMIF(Measurement!$B:$B,B72,Measurement!$I:$I))</f>
        <v/>
      </c>
      <c r="I72">
        <f>Measurement!J70</f>
        <v/>
      </c>
      <c r="J72">
        <f>IF(SUMIF(Measurement!$B:$B,B72,Measurement!$J:$J)=0,0,I72/SUMIF(Measurement!$B:$B,B72,Measurement!$J:$J))</f>
        <v/>
      </c>
      <c r="K72">
        <f>IFERROR(VLOOKUP(B72,Environments!$A$5:$K$50,4,FALSE),0)</f>
        <v/>
      </c>
      <c r="L72">
        <f>IFERROR(VLOOKUP(B72,Environments!$A$5:$K$50,5,FALSE),0)</f>
        <v/>
      </c>
      <c r="M72">
        <f>IFERROR(VLOOKUP(B72,Environments!$A$5:$K$50,6,FALSE),0)</f>
        <v/>
      </c>
      <c r="N72">
        <f>IFERROR(VLOOKUP(B72,Environments!$A$5:$K$50,7,FALSE),0)</f>
        <v/>
      </c>
      <c r="O72">
        <f>IFERROR(VLOOKUP(B72,Environments!$A$5:$K$50,11,FALSE),0)</f>
        <v/>
      </c>
      <c r="P72">
        <f>(D72*K72+F72*L72+H72*M72+J72*N72)*Global!$B$5</f>
        <v/>
      </c>
      <c r="Q72">
        <f>IF(SUMIF(Measurement!$B:$B,B72,Measurement!$J:$J)=0,D72*O72,J72*O72)</f>
        <v/>
      </c>
      <c r="R72">
        <f>P72+Q72</f>
        <v/>
      </c>
      <c r="S72" t="n">
        <v>0</v>
      </c>
      <c r="T72">
        <f>R72+S72</f>
        <v/>
      </c>
      <c r="U72">
        <f>T72*12</f>
        <v/>
      </c>
    </row>
    <row r="73">
      <c r="A73">
        <f>Measurement!A71</f>
        <v/>
      </c>
      <c r="B73">
        <f>Measurement!B71</f>
        <v/>
      </c>
      <c r="C73">
        <f>Measurement!G71</f>
        <v/>
      </c>
      <c r="D73">
        <f>IF(SUMIF(Measurement!$B:$B,B73,Measurement!$G:$G)=0,0,C73/SUMIF(Measurement!$B:$B,B73,Measurement!$G:$G))</f>
        <v/>
      </c>
      <c r="E73">
        <f>Measurement!H71</f>
        <v/>
      </c>
      <c r="F73">
        <f>IF(SUMIF(Measurement!$B:$B,B73,Measurement!$H:$H)=0,0,E73/SUMIF(Measurement!$B:$B,B73,Measurement!$H:$H))</f>
        <v/>
      </c>
      <c r="G73">
        <f>Measurement!I71</f>
        <v/>
      </c>
      <c r="H73">
        <f>IF(SUMIF(Measurement!$B:$B,B73,Measurement!$I:$I)=0,0,G73/SUMIF(Measurement!$B:$B,B73,Measurement!$I:$I))</f>
        <v/>
      </c>
      <c r="I73">
        <f>Measurement!J71</f>
        <v/>
      </c>
      <c r="J73">
        <f>IF(SUMIF(Measurement!$B:$B,B73,Measurement!$J:$J)=0,0,I73/SUMIF(Measurement!$B:$B,B73,Measurement!$J:$J))</f>
        <v/>
      </c>
      <c r="K73">
        <f>IFERROR(VLOOKUP(B73,Environments!$A$5:$K$50,4,FALSE),0)</f>
        <v/>
      </c>
      <c r="L73">
        <f>IFERROR(VLOOKUP(B73,Environments!$A$5:$K$50,5,FALSE),0)</f>
        <v/>
      </c>
      <c r="M73">
        <f>IFERROR(VLOOKUP(B73,Environments!$A$5:$K$50,6,FALSE),0)</f>
        <v/>
      </c>
      <c r="N73">
        <f>IFERROR(VLOOKUP(B73,Environments!$A$5:$K$50,7,FALSE),0)</f>
        <v/>
      </c>
      <c r="O73">
        <f>IFERROR(VLOOKUP(B73,Environments!$A$5:$K$50,11,FALSE),0)</f>
        <v/>
      </c>
      <c r="P73">
        <f>(D73*K73+F73*L73+H73*M73+J73*N73)*Global!$B$5</f>
        <v/>
      </c>
      <c r="Q73">
        <f>IF(SUMIF(Measurement!$B:$B,B73,Measurement!$J:$J)=0,D73*O73,J73*O73)</f>
        <v/>
      </c>
      <c r="R73">
        <f>P73+Q73</f>
        <v/>
      </c>
      <c r="S73" t="n">
        <v>0</v>
      </c>
      <c r="T73">
        <f>R73+S73</f>
        <v/>
      </c>
      <c r="U73">
        <f>T73*12</f>
        <v/>
      </c>
    </row>
    <row r="74">
      <c r="A74">
        <f>Measurement!A72</f>
        <v/>
      </c>
      <c r="B74">
        <f>Measurement!B72</f>
        <v/>
      </c>
      <c r="C74">
        <f>Measurement!G72</f>
        <v/>
      </c>
      <c r="D74">
        <f>IF(SUMIF(Measurement!$B:$B,B74,Measurement!$G:$G)=0,0,C74/SUMIF(Measurement!$B:$B,B74,Measurement!$G:$G))</f>
        <v/>
      </c>
      <c r="E74">
        <f>Measurement!H72</f>
        <v/>
      </c>
      <c r="F74">
        <f>IF(SUMIF(Measurement!$B:$B,B74,Measurement!$H:$H)=0,0,E74/SUMIF(Measurement!$B:$B,B74,Measurement!$H:$H))</f>
        <v/>
      </c>
      <c r="G74">
        <f>Measurement!I72</f>
        <v/>
      </c>
      <c r="H74">
        <f>IF(SUMIF(Measurement!$B:$B,B74,Measurement!$I:$I)=0,0,G74/SUMIF(Measurement!$B:$B,B74,Measurement!$I:$I))</f>
        <v/>
      </c>
      <c r="I74">
        <f>Measurement!J72</f>
        <v/>
      </c>
      <c r="J74">
        <f>IF(SUMIF(Measurement!$B:$B,B74,Measurement!$J:$J)=0,0,I74/SUMIF(Measurement!$B:$B,B74,Measurement!$J:$J))</f>
        <v/>
      </c>
      <c r="K74">
        <f>IFERROR(VLOOKUP(B74,Environments!$A$5:$K$50,4,FALSE),0)</f>
        <v/>
      </c>
      <c r="L74">
        <f>IFERROR(VLOOKUP(B74,Environments!$A$5:$K$50,5,FALSE),0)</f>
        <v/>
      </c>
      <c r="M74">
        <f>IFERROR(VLOOKUP(B74,Environments!$A$5:$K$50,6,FALSE),0)</f>
        <v/>
      </c>
      <c r="N74">
        <f>IFERROR(VLOOKUP(B74,Environments!$A$5:$K$50,7,FALSE),0)</f>
        <v/>
      </c>
      <c r="O74">
        <f>IFERROR(VLOOKUP(B74,Environments!$A$5:$K$50,11,FALSE),0)</f>
        <v/>
      </c>
      <c r="P74">
        <f>(D74*K74+F74*L74+H74*M74+J74*N74)*Global!$B$5</f>
        <v/>
      </c>
      <c r="Q74">
        <f>IF(SUMIF(Measurement!$B:$B,B74,Measurement!$J:$J)=0,D74*O74,J74*O74)</f>
        <v/>
      </c>
      <c r="R74">
        <f>P74+Q74</f>
        <v/>
      </c>
      <c r="S74" t="n">
        <v>0</v>
      </c>
      <c r="T74">
        <f>R74+S74</f>
        <v/>
      </c>
      <c r="U74">
        <f>T74*12</f>
        <v/>
      </c>
    </row>
    <row r="75">
      <c r="A75">
        <f>Measurement!A73</f>
        <v/>
      </c>
      <c r="B75">
        <f>Measurement!B73</f>
        <v/>
      </c>
      <c r="C75">
        <f>Measurement!G73</f>
        <v/>
      </c>
      <c r="D75">
        <f>IF(SUMIF(Measurement!$B:$B,B75,Measurement!$G:$G)=0,0,C75/SUMIF(Measurement!$B:$B,B75,Measurement!$G:$G))</f>
        <v/>
      </c>
      <c r="E75">
        <f>Measurement!H73</f>
        <v/>
      </c>
      <c r="F75">
        <f>IF(SUMIF(Measurement!$B:$B,B75,Measurement!$H:$H)=0,0,E75/SUMIF(Measurement!$B:$B,B75,Measurement!$H:$H))</f>
        <v/>
      </c>
      <c r="G75">
        <f>Measurement!I73</f>
        <v/>
      </c>
      <c r="H75">
        <f>IF(SUMIF(Measurement!$B:$B,B75,Measurement!$I:$I)=0,0,G75/SUMIF(Measurement!$B:$B,B75,Measurement!$I:$I))</f>
        <v/>
      </c>
      <c r="I75">
        <f>Measurement!J73</f>
        <v/>
      </c>
      <c r="J75">
        <f>IF(SUMIF(Measurement!$B:$B,B75,Measurement!$J:$J)=0,0,I75/SUMIF(Measurement!$B:$B,B75,Measurement!$J:$J))</f>
        <v/>
      </c>
      <c r="K75">
        <f>IFERROR(VLOOKUP(B75,Environments!$A$5:$K$50,4,FALSE),0)</f>
        <v/>
      </c>
      <c r="L75">
        <f>IFERROR(VLOOKUP(B75,Environments!$A$5:$K$50,5,FALSE),0)</f>
        <v/>
      </c>
      <c r="M75">
        <f>IFERROR(VLOOKUP(B75,Environments!$A$5:$K$50,6,FALSE),0)</f>
        <v/>
      </c>
      <c r="N75">
        <f>IFERROR(VLOOKUP(B75,Environments!$A$5:$K$50,7,FALSE),0)</f>
        <v/>
      </c>
      <c r="O75">
        <f>IFERROR(VLOOKUP(B75,Environments!$A$5:$K$50,11,FALSE),0)</f>
        <v/>
      </c>
      <c r="P75">
        <f>(D75*K75+F75*L75+H75*M75+J75*N75)*Global!$B$5</f>
        <v/>
      </c>
      <c r="Q75">
        <f>IF(SUMIF(Measurement!$B:$B,B75,Measurement!$J:$J)=0,D75*O75,J75*O75)</f>
        <v/>
      </c>
      <c r="R75">
        <f>P75+Q75</f>
        <v/>
      </c>
      <c r="S75" t="n">
        <v>0</v>
      </c>
      <c r="T75">
        <f>R75+S75</f>
        <v/>
      </c>
      <c r="U75">
        <f>T75*12</f>
        <v/>
      </c>
    </row>
    <row r="76">
      <c r="A76">
        <f>Measurement!A74</f>
        <v/>
      </c>
      <c r="B76">
        <f>Measurement!B74</f>
        <v/>
      </c>
      <c r="C76">
        <f>Measurement!G74</f>
        <v/>
      </c>
      <c r="D76">
        <f>IF(SUMIF(Measurement!$B:$B,B76,Measurement!$G:$G)=0,0,C76/SUMIF(Measurement!$B:$B,B76,Measurement!$G:$G))</f>
        <v/>
      </c>
      <c r="E76">
        <f>Measurement!H74</f>
        <v/>
      </c>
      <c r="F76">
        <f>IF(SUMIF(Measurement!$B:$B,B76,Measurement!$H:$H)=0,0,E76/SUMIF(Measurement!$B:$B,B76,Measurement!$H:$H))</f>
        <v/>
      </c>
      <c r="G76">
        <f>Measurement!I74</f>
        <v/>
      </c>
      <c r="H76">
        <f>IF(SUMIF(Measurement!$B:$B,B76,Measurement!$I:$I)=0,0,G76/SUMIF(Measurement!$B:$B,B76,Measurement!$I:$I))</f>
        <v/>
      </c>
      <c r="I76">
        <f>Measurement!J74</f>
        <v/>
      </c>
      <c r="J76">
        <f>IF(SUMIF(Measurement!$B:$B,B76,Measurement!$J:$J)=0,0,I76/SUMIF(Measurement!$B:$B,B76,Measurement!$J:$J))</f>
        <v/>
      </c>
      <c r="K76">
        <f>IFERROR(VLOOKUP(B76,Environments!$A$5:$K$50,4,FALSE),0)</f>
        <v/>
      </c>
      <c r="L76">
        <f>IFERROR(VLOOKUP(B76,Environments!$A$5:$K$50,5,FALSE),0)</f>
        <v/>
      </c>
      <c r="M76">
        <f>IFERROR(VLOOKUP(B76,Environments!$A$5:$K$50,6,FALSE),0)</f>
        <v/>
      </c>
      <c r="N76">
        <f>IFERROR(VLOOKUP(B76,Environments!$A$5:$K$50,7,FALSE),0)</f>
        <v/>
      </c>
      <c r="O76">
        <f>IFERROR(VLOOKUP(B76,Environments!$A$5:$K$50,11,FALSE),0)</f>
        <v/>
      </c>
      <c r="P76">
        <f>(D76*K76+F76*L76+H76*M76+J76*N76)*Global!$B$5</f>
        <v/>
      </c>
      <c r="Q76">
        <f>IF(SUMIF(Measurement!$B:$B,B76,Measurement!$J:$J)=0,D76*O76,J76*O76)</f>
        <v/>
      </c>
      <c r="R76">
        <f>P76+Q76</f>
        <v/>
      </c>
      <c r="S76" t="n">
        <v>0</v>
      </c>
      <c r="T76">
        <f>R76+S76</f>
        <v/>
      </c>
      <c r="U76">
        <f>T76*12</f>
        <v/>
      </c>
    </row>
    <row r="77">
      <c r="A77">
        <f>Measurement!A75</f>
        <v/>
      </c>
      <c r="B77">
        <f>Measurement!B75</f>
        <v/>
      </c>
      <c r="C77">
        <f>Measurement!G75</f>
        <v/>
      </c>
      <c r="D77">
        <f>IF(SUMIF(Measurement!$B:$B,B77,Measurement!$G:$G)=0,0,C77/SUMIF(Measurement!$B:$B,B77,Measurement!$G:$G))</f>
        <v/>
      </c>
      <c r="E77">
        <f>Measurement!H75</f>
        <v/>
      </c>
      <c r="F77">
        <f>IF(SUMIF(Measurement!$B:$B,B77,Measurement!$H:$H)=0,0,E77/SUMIF(Measurement!$B:$B,B77,Measurement!$H:$H))</f>
        <v/>
      </c>
      <c r="G77">
        <f>Measurement!I75</f>
        <v/>
      </c>
      <c r="H77">
        <f>IF(SUMIF(Measurement!$B:$B,B77,Measurement!$I:$I)=0,0,G77/SUMIF(Measurement!$B:$B,B77,Measurement!$I:$I))</f>
        <v/>
      </c>
      <c r="I77">
        <f>Measurement!J75</f>
        <v/>
      </c>
      <c r="J77">
        <f>IF(SUMIF(Measurement!$B:$B,B77,Measurement!$J:$J)=0,0,I77/SUMIF(Measurement!$B:$B,B77,Measurement!$J:$J))</f>
        <v/>
      </c>
      <c r="K77">
        <f>IFERROR(VLOOKUP(B77,Environments!$A$5:$K$50,4,FALSE),0)</f>
        <v/>
      </c>
      <c r="L77">
        <f>IFERROR(VLOOKUP(B77,Environments!$A$5:$K$50,5,FALSE),0)</f>
        <v/>
      </c>
      <c r="M77">
        <f>IFERROR(VLOOKUP(B77,Environments!$A$5:$K$50,6,FALSE),0)</f>
        <v/>
      </c>
      <c r="N77">
        <f>IFERROR(VLOOKUP(B77,Environments!$A$5:$K$50,7,FALSE),0)</f>
        <v/>
      </c>
      <c r="O77">
        <f>IFERROR(VLOOKUP(B77,Environments!$A$5:$K$50,11,FALSE),0)</f>
        <v/>
      </c>
      <c r="P77">
        <f>(D77*K77+F77*L77+H77*M77+J77*N77)*Global!$B$5</f>
        <v/>
      </c>
      <c r="Q77">
        <f>IF(SUMIF(Measurement!$B:$B,B77,Measurement!$J:$J)=0,D77*O77,J77*O77)</f>
        <v/>
      </c>
      <c r="R77">
        <f>P77+Q77</f>
        <v/>
      </c>
      <c r="S77" t="n">
        <v>0</v>
      </c>
      <c r="T77">
        <f>R77+S77</f>
        <v/>
      </c>
      <c r="U77">
        <f>T77*12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With Admin Cost — surcharge when Environments!Apply surcharge is TRUE</t>
        </is>
      </c>
    </row>
    <row r="2">
      <c r="A2" t="inlineStr">
        <is>
          <t>Surcharge rate</t>
        </is>
      </c>
      <c r="B2" s="4">
        <f>Global!B17</f>
        <v/>
      </c>
    </row>
    <row r="4">
      <c r="A4" s="2" t="inlineStr">
        <is>
          <t>Family</t>
        </is>
      </c>
      <c r="B4" s="2" t="inlineStr">
        <is>
          <t>Env</t>
        </is>
      </c>
      <c r="C4" s="2" t="inlineStr">
        <is>
          <t>GB hot</t>
        </is>
      </c>
      <c r="D4" s="2" t="inlineStr">
        <is>
          <t>Share hot</t>
        </is>
      </c>
      <c r="E4" s="2" t="inlineStr">
        <is>
          <t>GB warm</t>
        </is>
      </c>
      <c r="F4" s="2" t="inlineStr">
        <is>
          <t>Share warm</t>
        </is>
      </c>
      <c r="G4" s="2" t="inlineStr">
        <is>
          <t>GB cold</t>
        </is>
      </c>
      <c r="H4" s="2" t="inlineStr">
        <is>
          <t>Share cold</t>
        </is>
      </c>
      <c r="I4" s="2" t="inlineStr">
        <is>
          <t>GB frozen</t>
        </is>
      </c>
      <c r="J4" s="2" t="inlineStr">
        <is>
          <t>Share frozen</t>
        </is>
      </c>
      <c r="K4" s="2" t="inlineStr">
        <is>
          <t>Hot /h</t>
        </is>
      </c>
      <c r="L4" s="2" t="inlineStr">
        <is>
          <t>Warm /h</t>
        </is>
      </c>
      <c r="M4" s="2" t="inlineStr">
        <is>
          <t>Cold /h</t>
        </is>
      </c>
      <c r="N4" s="2" t="inlineStr">
        <is>
          <t>Frozen /h</t>
        </is>
      </c>
      <c r="O4" s="2" t="inlineStr">
        <is>
          <t>Snapshots/mo</t>
        </is>
      </c>
      <c r="P4" s="2" t="inlineStr">
        <is>
          <t>Cost/mo capacity</t>
        </is>
      </c>
      <c r="Q4" s="2" t="inlineStr">
        <is>
          <t>Cost/mo snapshots</t>
        </is>
      </c>
      <c r="R4" s="2" t="inlineStr">
        <is>
          <t>Cost/mo Elastic</t>
        </is>
      </c>
      <c r="S4" s="2" t="inlineStr">
        <is>
          <t>Cost/mo surcharge</t>
        </is>
      </c>
      <c r="T4" s="2" t="inlineStr">
        <is>
          <t>Cost/mo total</t>
        </is>
      </c>
      <c r="U4" s="2" t="inlineStr">
        <is>
          <t>Cost/year</t>
        </is>
      </c>
    </row>
    <row r="5">
      <c r="A5">
        <f>Measurement!A3</f>
        <v/>
      </c>
      <c r="B5">
        <f>Measurement!B3</f>
        <v/>
      </c>
      <c r="C5">
        <f>Measurement!G3</f>
        <v/>
      </c>
      <c r="D5">
        <f>IF(SUMIF(Measurement!$B:$B,B5,Measurement!$G:$G)=0,0,C5/SUMIF(Measurement!$B:$B,B5,Measurement!$G:$G))</f>
        <v/>
      </c>
      <c r="E5">
        <f>Measurement!H3</f>
        <v/>
      </c>
      <c r="F5">
        <f>IF(SUMIF(Measurement!$B:$B,B5,Measurement!$H:$H)=0,0,E5/SUMIF(Measurement!$B:$B,B5,Measurement!$H:$H))</f>
        <v/>
      </c>
      <c r="G5">
        <f>Measurement!I3</f>
        <v/>
      </c>
      <c r="H5">
        <f>IF(SUMIF(Measurement!$B:$B,B5,Measurement!$I:$I)=0,0,G5/SUMIF(Measurement!$B:$B,B5,Measurement!$I:$I))</f>
        <v/>
      </c>
      <c r="I5">
        <f>Measurement!J3</f>
        <v/>
      </c>
      <c r="J5">
        <f>IF(SUMIF(Measurement!$B:$B,B5,Measurement!$J:$J)=0,0,I5/SUMIF(Measurement!$B:$B,B5,Measurement!$J:$J))</f>
        <v/>
      </c>
      <c r="K5">
        <f>IFERROR(VLOOKUP(B5,Environments!$A$5:$K$50,4,FALSE),0)</f>
        <v/>
      </c>
      <c r="L5">
        <f>IFERROR(VLOOKUP(B5,Environments!$A$5:$K$50,5,FALSE),0)</f>
        <v/>
      </c>
      <c r="M5">
        <f>IFERROR(VLOOKUP(B5,Environments!$A$5:$K$50,6,FALSE),0)</f>
        <v/>
      </c>
      <c r="N5">
        <f>IFERROR(VLOOKUP(B5,Environments!$A$5:$K$50,7,FALSE),0)</f>
        <v/>
      </c>
      <c r="O5">
        <f>IFERROR(VLOOKUP(B5,Environments!$A$5:$K$50,11,FALSE),0)</f>
        <v/>
      </c>
      <c r="P5">
        <f>(D5*K5+F5*L5+H5*M5+J5*N5)*Global!$B$5</f>
        <v/>
      </c>
      <c r="Q5">
        <f>IF(SUMIF(Measurement!$B:$B,B5,Measurement!$J:$J)=0,D5*O5,J5*O5)</f>
        <v/>
      </c>
      <c r="R5">
        <f>P5+Q5</f>
        <v/>
      </c>
      <c r="S5">
        <f>IF(IFERROR(VLOOKUP(B5,Environments!$A$5:$K$50,3,FALSE),FALSE),R5*$B$2,0)</f>
        <v/>
      </c>
      <c r="T5">
        <f>R5+S5</f>
        <v/>
      </c>
      <c r="U5">
        <f>T5*12</f>
        <v/>
      </c>
    </row>
    <row r="6">
      <c r="A6">
        <f>Measurement!A4</f>
        <v/>
      </c>
      <c r="B6">
        <f>Measurement!B4</f>
        <v/>
      </c>
      <c r="C6">
        <f>Measurement!G4</f>
        <v/>
      </c>
      <c r="D6">
        <f>IF(SUMIF(Measurement!$B:$B,B6,Measurement!$G:$G)=0,0,C6/SUMIF(Measurement!$B:$B,B6,Measurement!$G:$G))</f>
        <v/>
      </c>
      <c r="E6">
        <f>Measurement!H4</f>
        <v/>
      </c>
      <c r="F6">
        <f>IF(SUMIF(Measurement!$B:$B,B6,Measurement!$H:$H)=0,0,E6/SUMIF(Measurement!$B:$B,B6,Measurement!$H:$H))</f>
        <v/>
      </c>
      <c r="G6">
        <f>Measurement!I4</f>
        <v/>
      </c>
      <c r="H6">
        <f>IF(SUMIF(Measurement!$B:$B,B6,Measurement!$I:$I)=0,0,G6/SUMIF(Measurement!$B:$B,B6,Measurement!$I:$I))</f>
        <v/>
      </c>
      <c r="I6">
        <f>Measurement!J4</f>
        <v/>
      </c>
      <c r="J6">
        <f>IF(SUMIF(Measurement!$B:$B,B6,Measurement!$J:$J)=0,0,I6/SUMIF(Measurement!$B:$B,B6,Measurement!$J:$J))</f>
        <v/>
      </c>
      <c r="K6">
        <f>IFERROR(VLOOKUP(B6,Environments!$A$5:$K$50,4,FALSE),0)</f>
        <v/>
      </c>
      <c r="L6">
        <f>IFERROR(VLOOKUP(B6,Environments!$A$5:$K$50,5,FALSE),0)</f>
        <v/>
      </c>
      <c r="M6">
        <f>IFERROR(VLOOKUP(B6,Environments!$A$5:$K$50,6,FALSE),0)</f>
        <v/>
      </c>
      <c r="N6">
        <f>IFERROR(VLOOKUP(B6,Environments!$A$5:$K$50,7,FALSE),0)</f>
        <v/>
      </c>
      <c r="O6">
        <f>IFERROR(VLOOKUP(B6,Environments!$A$5:$K$50,11,FALSE),0)</f>
        <v/>
      </c>
      <c r="P6">
        <f>(D6*K6+F6*L6+H6*M6+J6*N6)*Global!$B$5</f>
        <v/>
      </c>
      <c r="Q6">
        <f>IF(SUMIF(Measurement!$B:$B,B6,Measurement!$J:$J)=0,D6*O6,J6*O6)</f>
        <v/>
      </c>
      <c r="R6">
        <f>P6+Q6</f>
        <v/>
      </c>
      <c r="S6">
        <f>IF(IFERROR(VLOOKUP(B6,Environments!$A$5:$K$50,3,FALSE),FALSE),R6*$B$2,0)</f>
        <v/>
      </c>
      <c r="T6">
        <f>R6+S6</f>
        <v/>
      </c>
      <c r="U6">
        <f>T6*12</f>
        <v/>
      </c>
    </row>
    <row r="7">
      <c r="A7">
        <f>Measurement!A5</f>
        <v/>
      </c>
      <c r="B7">
        <f>Measurement!B5</f>
        <v/>
      </c>
      <c r="C7">
        <f>Measurement!G5</f>
        <v/>
      </c>
      <c r="D7">
        <f>IF(SUMIF(Measurement!$B:$B,B7,Measurement!$G:$G)=0,0,C7/SUMIF(Measurement!$B:$B,B7,Measurement!$G:$G))</f>
        <v/>
      </c>
      <c r="E7">
        <f>Measurement!H5</f>
        <v/>
      </c>
      <c r="F7">
        <f>IF(SUMIF(Measurement!$B:$B,B7,Measurement!$H:$H)=0,0,E7/SUMIF(Measurement!$B:$B,B7,Measurement!$H:$H))</f>
        <v/>
      </c>
      <c r="G7">
        <f>Measurement!I5</f>
        <v/>
      </c>
      <c r="H7">
        <f>IF(SUMIF(Measurement!$B:$B,B7,Measurement!$I:$I)=0,0,G7/SUMIF(Measurement!$B:$B,B7,Measurement!$I:$I))</f>
        <v/>
      </c>
      <c r="I7">
        <f>Measurement!J5</f>
        <v/>
      </c>
      <c r="J7">
        <f>IF(SUMIF(Measurement!$B:$B,B7,Measurement!$J:$J)=0,0,I7/SUMIF(Measurement!$B:$B,B7,Measurement!$J:$J))</f>
        <v/>
      </c>
      <c r="K7">
        <f>IFERROR(VLOOKUP(B7,Environments!$A$5:$K$50,4,FALSE),0)</f>
        <v/>
      </c>
      <c r="L7">
        <f>IFERROR(VLOOKUP(B7,Environments!$A$5:$K$50,5,FALSE),0)</f>
        <v/>
      </c>
      <c r="M7">
        <f>IFERROR(VLOOKUP(B7,Environments!$A$5:$K$50,6,FALSE),0)</f>
        <v/>
      </c>
      <c r="N7">
        <f>IFERROR(VLOOKUP(B7,Environments!$A$5:$K$50,7,FALSE),0)</f>
        <v/>
      </c>
      <c r="O7">
        <f>IFERROR(VLOOKUP(B7,Environments!$A$5:$K$50,11,FALSE),0)</f>
        <v/>
      </c>
      <c r="P7">
        <f>(D7*K7+F7*L7+H7*M7+J7*N7)*Global!$B$5</f>
        <v/>
      </c>
      <c r="Q7">
        <f>IF(SUMIF(Measurement!$B:$B,B7,Measurement!$J:$J)=0,D7*O7,J7*O7)</f>
        <v/>
      </c>
      <c r="R7">
        <f>P7+Q7</f>
        <v/>
      </c>
      <c r="S7">
        <f>IF(IFERROR(VLOOKUP(B7,Environments!$A$5:$K$50,3,FALSE),FALSE),R7*$B$2,0)</f>
        <v/>
      </c>
      <c r="T7">
        <f>R7+S7</f>
        <v/>
      </c>
      <c r="U7">
        <f>T7*12</f>
        <v/>
      </c>
    </row>
    <row r="8">
      <c r="A8">
        <f>Measurement!A6</f>
        <v/>
      </c>
      <c r="B8">
        <f>Measurement!B6</f>
        <v/>
      </c>
      <c r="C8">
        <f>Measurement!G6</f>
        <v/>
      </c>
      <c r="D8">
        <f>IF(SUMIF(Measurement!$B:$B,B8,Measurement!$G:$G)=0,0,C8/SUMIF(Measurement!$B:$B,B8,Measurement!$G:$G))</f>
        <v/>
      </c>
      <c r="E8">
        <f>Measurement!H6</f>
        <v/>
      </c>
      <c r="F8">
        <f>IF(SUMIF(Measurement!$B:$B,B8,Measurement!$H:$H)=0,0,E8/SUMIF(Measurement!$B:$B,B8,Measurement!$H:$H))</f>
        <v/>
      </c>
      <c r="G8">
        <f>Measurement!I6</f>
        <v/>
      </c>
      <c r="H8">
        <f>IF(SUMIF(Measurement!$B:$B,B8,Measurement!$I:$I)=0,0,G8/SUMIF(Measurement!$B:$B,B8,Measurement!$I:$I))</f>
        <v/>
      </c>
      <c r="I8">
        <f>Measurement!J6</f>
        <v/>
      </c>
      <c r="J8">
        <f>IF(SUMIF(Measurement!$B:$B,B8,Measurement!$J:$J)=0,0,I8/SUMIF(Measurement!$B:$B,B8,Measurement!$J:$J))</f>
        <v/>
      </c>
      <c r="K8">
        <f>IFERROR(VLOOKUP(B8,Environments!$A$5:$K$50,4,FALSE),0)</f>
        <v/>
      </c>
      <c r="L8">
        <f>IFERROR(VLOOKUP(B8,Environments!$A$5:$K$50,5,FALSE),0)</f>
        <v/>
      </c>
      <c r="M8">
        <f>IFERROR(VLOOKUP(B8,Environments!$A$5:$K$50,6,FALSE),0)</f>
        <v/>
      </c>
      <c r="N8">
        <f>IFERROR(VLOOKUP(B8,Environments!$A$5:$K$50,7,FALSE),0)</f>
        <v/>
      </c>
      <c r="O8">
        <f>IFERROR(VLOOKUP(B8,Environments!$A$5:$K$50,11,FALSE),0)</f>
        <v/>
      </c>
      <c r="P8">
        <f>(D8*K8+F8*L8+H8*M8+J8*N8)*Global!$B$5</f>
        <v/>
      </c>
      <c r="Q8">
        <f>IF(SUMIF(Measurement!$B:$B,B8,Measurement!$J:$J)=0,D8*O8,J8*O8)</f>
        <v/>
      </c>
      <c r="R8">
        <f>P8+Q8</f>
        <v/>
      </c>
      <c r="S8">
        <f>IF(IFERROR(VLOOKUP(B8,Environments!$A$5:$K$50,3,FALSE),FALSE),R8*$B$2,0)</f>
        <v/>
      </c>
      <c r="T8">
        <f>R8+S8</f>
        <v/>
      </c>
      <c r="U8">
        <f>T8*12</f>
        <v/>
      </c>
    </row>
    <row r="9">
      <c r="A9">
        <f>Measurement!A7</f>
        <v/>
      </c>
      <c r="B9">
        <f>Measurement!B7</f>
        <v/>
      </c>
      <c r="C9">
        <f>Measurement!G7</f>
        <v/>
      </c>
      <c r="D9">
        <f>IF(SUMIF(Measurement!$B:$B,B9,Measurement!$G:$G)=0,0,C9/SUMIF(Measurement!$B:$B,B9,Measurement!$G:$G))</f>
        <v/>
      </c>
      <c r="E9">
        <f>Measurement!H7</f>
        <v/>
      </c>
      <c r="F9">
        <f>IF(SUMIF(Measurement!$B:$B,B9,Measurement!$H:$H)=0,0,E9/SUMIF(Measurement!$B:$B,B9,Measurement!$H:$H))</f>
        <v/>
      </c>
      <c r="G9">
        <f>Measurement!I7</f>
        <v/>
      </c>
      <c r="H9">
        <f>IF(SUMIF(Measurement!$B:$B,B9,Measurement!$I:$I)=0,0,G9/SUMIF(Measurement!$B:$B,B9,Measurement!$I:$I))</f>
        <v/>
      </c>
      <c r="I9">
        <f>Measurement!J7</f>
        <v/>
      </c>
      <c r="J9">
        <f>IF(SUMIF(Measurement!$B:$B,B9,Measurement!$J:$J)=0,0,I9/SUMIF(Measurement!$B:$B,B9,Measurement!$J:$J))</f>
        <v/>
      </c>
      <c r="K9">
        <f>IFERROR(VLOOKUP(B9,Environments!$A$5:$K$50,4,FALSE),0)</f>
        <v/>
      </c>
      <c r="L9">
        <f>IFERROR(VLOOKUP(B9,Environments!$A$5:$K$50,5,FALSE),0)</f>
        <v/>
      </c>
      <c r="M9">
        <f>IFERROR(VLOOKUP(B9,Environments!$A$5:$K$50,6,FALSE),0)</f>
        <v/>
      </c>
      <c r="N9">
        <f>IFERROR(VLOOKUP(B9,Environments!$A$5:$K$50,7,FALSE),0)</f>
        <v/>
      </c>
      <c r="O9">
        <f>IFERROR(VLOOKUP(B9,Environments!$A$5:$K$50,11,FALSE),0)</f>
        <v/>
      </c>
      <c r="P9">
        <f>(D9*K9+F9*L9+H9*M9+J9*N9)*Global!$B$5</f>
        <v/>
      </c>
      <c r="Q9">
        <f>IF(SUMIF(Measurement!$B:$B,B9,Measurement!$J:$J)=0,D9*O9,J9*O9)</f>
        <v/>
      </c>
      <c r="R9">
        <f>P9+Q9</f>
        <v/>
      </c>
      <c r="S9">
        <f>IF(IFERROR(VLOOKUP(B9,Environments!$A$5:$K$50,3,FALSE),FALSE),R9*$B$2,0)</f>
        <v/>
      </c>
      <c r="T9">
        <f>R9+S9</f>
        <v/>
      </c>
      <c r="U9">
        <f>T9*12</f>
        <v/>
      </c>
    </row>
    <row r="10">
      <c r="A10">
        <f>Measurement!A8</f>
        <v/>
      </c>
      <c r="B10">
        <f>Measurement!B8</f>
        <v/>
      </c>
      <c r="C10">
        <f>Measurement!G8</f>
        <v/>
      </c>
      <c r="D10">
        <f>IF(SUMIF(Measurement!$B:$B,B10,Measurement!$G:$G)=0,0,C10/SUMIF(Measurement!$B:$B,B10,Measurement!$G:$G))</f>
        <v/>
      </c>
      <c r="E10">
        <f>Measurement!H8</f>
        <v/>
      </c>
      <c r="F10">
        <f>IF(SUMIF(Measurement!$B:$B,B10,Measurement!$H:$H)=0,0,E10/SUMIF(Measurement!$B:$B,B10,Measurement!$H:$H))</f>
        <v/>
      </c>
      <c r="G10">
        <f>Measurement!I8</f>
        <v/>
      </c>
      <c r="H10">
        <f>IF(SUMIF(Measurement!$B:$B,B10,Measurement!$I:$I)=0,0,G10/SUMIF(Measurement!$B:$B,B10,Measurement!$I:$I))</f>
        <v/>
      </c>
      <c r="I10">
        <f>Measurement!J8</f>
        <v/>
      </c>
      <c r="J10">
        <f>IF(SUMIF(Measurement!$B:$B,B10,Measurement!$J:$J)=0,0,I10/SUMIF(Measurement!$B:$B,B10,Measurement!$J:$J))</f>
        <v/>
      </c>
      <c r="K10">
        <f>IFERROR(VLOOKUP(B10,Environments!$A$5:$K$50,4,FALSE),0)</f>
        <v/>
      </c>
      <c r="L10">
        <f>IFERROR(VLOOKUP(B10,Environments!$A$5:$K$50,5,FALSE),0)</f>
        <v/>
      </c>
      <c r="M10">
        <f>IFERROR(VLOOKUP(B10,Environments!$A$5:$K$50,6,FALSE),0)</f>
        <v/>
      </c>
      <c r="N10">
        <f>IFERROR(VLOOKUP(B10,Environments!$A$5:$K$50,7,FALSE),0)</f>
        <v/>
      </c>
      <c r="O10">
        <f>IFERROR(VLOOKUP(B10,Environments!$A$5:$K$50,11,FALSE),0)</f>
        <v/>
      </c>
      <c r="P10">
        <f>(D10*K10+F10*L10+H10*M10+J10*N10)*Global!$B$5</f>
        <v/>
      </c>
      <c r="Q10">
        <f>IF(SUMIF(Measurement!$B:$B,B10,Measurement!$J:$J)=0,D10*O10,J10*O10)</f>
        <v/>
      </c>
      <c r="R10">
        <f>P10+Q10</f>
        <v/>
      </c>
      <c r="S10">
        <f>IF(IFERROR(VLOOKUP(B10,Environments!$A$5:$K$50,3,FALSE),FALSE),R10*$B$2,0)</f>
        <v/>
      </c>
      <c r="T10">
        <f>R10+S10</f>
        <v/>
      </c>
      <c r="U10">
        <f>T10*12</f>
        <v/>
      </c>
    </row>
    <row r="11">
      <c r="A11">
        <f>Measurement!A9</f>
        <v/>
      </c>
      <c r="B11">
        <f>Measurement!B9</f>
        <v/>
      </c>
      <c r="C11">
        <f>Measurement!G9</f>
        <v/>
      </c>
      <c r="D11">
        <f>IF(SUMIF(Measurement!$B:$B,B11,Measurement!$G:$G)=0,0,C11/SUMIF(Measurement!$B:$B,B11,Measurement!$G:$G))</f>
        <v/>
      </c>
      <c r="E11">
        <f>Measurement!H9</f>
        <v/>
      </c>
      <c r="F11">
        <f>IF(SUMIF(Measurement!$B:$B,B11,Measurement!$H:$H)=0,0,E11/SUMIF(Measurement!$B:$B,B11,Measurement!$H:$H))</f>
        <v/>
      </c>
      <c r="G11">
        <f>Measurement!I9</f>
        <v/>
      </c>
      <c r="H11">
        <f>IF(SUMIF(Measurement!$B:$B,B11,Measurement!$I:$I)=0,0,G11/SUMIF(Measurement!$B:$B,B11,Measurement!$I:$I))</f>
        <v/>
      </c>
      <c r="I11">
        <f>Measurement!J9</f>
        <v/>
      </c>
      <c r="J11">
        <f>IF(SUMIF(Measurement!$B:$B,B11,Measurement!$J:$J)=0,0,I11/SUMIF(Measurement!$B:$B,B11,Measurement!$J:$J))</f>
        <v/>
      </c>
      <c r="K11">
        <f>IFERROR(VLOOKUP(B11,Environments!$A$5:$K$50,4,FALSE),0)</f>
        <v/>
      </c>
      <c r="L11">
        <f>IFERROR(VLOOKUP(B11,Environments!$A$5:$K$50,5,FALSE),0)</f>
        <v/>
      </c>
      <c r="M11">
        <f>IFERROR(VLOOKUP(B11,Environments!$A$5:$K$50,6,FALSE),0)</f>
        <v/>
      </c>
      <c r="N11">
        <f>IFERROR(VLOOKUP(B11,Environments!$A$5:$K$50,7,FALSE),0)</f>
        <v/>
      </c>
      <c r="O11">
        <f>IFERROR(VLOOKUP(B11,Environments!$A$5:$K$50,11,FALSE),0)</f>
        <v/>
      </c>
      <c r="P11">
        <f>(D11*K11+F11*L11+H11*M11+J11*N11)*Global!$B$5</f>
        <v/>
      </c>
      <c r="Q11">
        <f>IF(SUMIF(Measurement!$B:$B,B11,Measurement!$J:$J)=0,D11*O11,J11*O11)</f>
        <v/>
      </c>
      <c r="R11">
        <f>P11+Q11</f>
        <v/>
      </c>
      <c r="S11">
        <f>IF(IFERROR(VLOOKUP(B11,Environments!$A$5:$K$50,3,FALSE),FALSE),R11*$B$2,0)</f>
        <v/>
      </c>
      <c r="T11">
        <f>R11+S11</f>
        <v/>
      </c>
      <c r="U11">
        <f>T11*12</f>
        <v/>
      </c>
    </row>
    <row r="12">
      <c r="A12">
        <f>Measurement!A10</f>
        <v/>
      </c>
      <c r="B12">
        <f>Measurement!B10</f>
        <v/>
      </c>
      <c r="C12">
        <f>Measurement!G10</f>
        <v/>
      </c>
      <c r="D12">
        <f>IF(SUMIF(Measurement!$B:$B,B12,Measurement!$G:$G)=0,0,C12/SUMIF(Measurement!$B:$B,B12,Measurement!$G:$G))</f>
        <v/>
      </c>
      <c r="E12">
        <f>Measurement!H10</f>
        <v/>
      </c>
      <c r="F12">
        <f>IF(SUMIF(Measurement!$B:$B,B12,Measurement!$H:$H)=0,0,E12/SUMIF(Measurement!$B:$B,B12,Measurement!$H:$H))</f>
        <v/>
      </c>
      <c r="G12">
        <f>Measurement!I10</f>
        <v/>
      </c>
      <c r="H12">
        <f>IF(SUMIF(Measurement!$B:$B,B12,Measurement!$I:$I)=0,0,G12/SUMIF(Measurement!$B:$B,B12,Measurement!$I:$I))</f>
        <v/>
      </c>
      <c r="I12">
        <f>Measurement!J10</f>
        <v/>
      </c>
      <c r="J12">
        <f>IF(SUMIF(Measurement!$B:$B,B12,Measurement!$J:$J)=0,0,I12/SUMIF(Measurement!$B:$B,B12,Measurement!$J:$J))</f>
        <v/>
      </c>
      <c r="K12">
        <f>IFERROR(VLOOKUP(B12,Environments!$A$5:$K$50,4,FALSE),0)</f>
        <v/>
      </c>
      <c r="L12">
        <f>IFERROR(VLOOKUP(B12,Environments!$A$5:$K$50,5,FALSE),0)</f>
        <v/>
      </c>
      <c r="M12">
        <f>IFERROR(VLOOKUP(B12,Environments!$A$5:$K$50,6,FALSE),0)</f>
        <v/>
      </c>
      <c r="N12">
        <f>IFERROR(VLOOKUP(B12,Environments!$A$5:$K$50,7,FALSE),0)</f>
        <v/>
      </c>
      <c r="O12">
        <f>IFERROR(VLOOKUP(B12,Environments!$A$5:$K$50,11,FALSE),0)</f>
        <v/>
      </c>
      <c r="P12">
        <f>(D12*K12+F12*L12+H12*M12+J12*N12)*Global!$B$5</f>
        <v/>
      </c>
      <c r="Q12">
        <f>IF(SUMIF(Measurement!$B:$B,B12,Measurement!$J:$J)=0,D12*O12,J12*O12)</f>
        <v/>
      </c>
      <c r="R12">
        <f>P12+Q12</f>
        <v/>
      </c>
      <c r="S12">
        <f>IF(IFERROR(VLOOKUP(B12,Environments!$A$5:$K$50,3,FALSE),FALSE),R12*$B$2,0)</f>
        <v/>
      </c>
      <c r="T12">
        <f>R12+S12</f>
        <v/>
      </c>
      <c r="U12">
        <f>T12*12</f>
        <v/>
      </c>
    </row>
    <row r="13">
      <c r="A13">
        <f>Measurement!A11</f>
        <v/>
      </c>
      <c r="B13">
        <f>Measurement!B11</f>
        <v/>
      </c>
      <c r="C13">
        <f>Measurement!G11</f>
        <v/>
      </c>
      <c r="D13">
        <f>IF(SUMIF(Measurement!$B:$B,B13,Measurement!$G:$G)=0,0,C13/SUMIF(Measurement!$B:$B,B13,Measurement!$G:$G))</f>
        <v/>
      </c>
      <c r="E13">
        <f>Measurement!H11</f>
        <v/>
      </c>
      <c r="F13">
        <f>IF(SUMIF(Measurement!$B:$B,B13,Measurement!$H:$H)=0,0,E13/SUMIF(Measurement!$B:$B,B13,Measurement!$H:$H))</f>
        <v/>
      </c>
      <c r="G13">
        <f>Measurement!I11</f>
        <v/>
      </c>
      <c r="H13">
        <f>IF(SUMIF(Measurement!$B:$B,B13,Measurement!$I:$I)=0,0,G13/SUMIF(Measurement!$B:$B,B13,Measurement!$I:$I))</f>
        <v/>
      </c>
      <c r="I13">
        <f>Measurement!J11</f>
        <v/>
      </c>
      <c r="J13">
        <f>IF(SUMIF(Measurement!$B:$B,B13,Measurement!$J:$J)=0,0,I13/SUMIF(Measurement!$B:$B,B13,Measurement!$J:$J))</f>
        <v/>
      </c>
      <c r="K13">
        <f>IFERROR(VLOOKUP(B13,Environments!$A$5:$K$50,4,FALSE),0)</f>
        <v/>
      </c>
      <c r="L13">
        <f>IFERROR(VLOOKUP(B13,Environments!$A$5:$K$50,5,FALSE),0)</f>
        <v/>
      </c>
      <c r="M13">
        <f>IFERROR(VLOOKUP(B13,Environments!$A$5:$K$50,6,FALSE),0)</f>
        <v/>
      </c>
      <c r="N13">
        <f>IFERROR(VLOOKUP(B13,Environments!$A$5:$K$50,7,FALSE),0)</f>
        <v/>
      </c>
      <c r="O13">
        <f>IFERROR(VLOOKUP(B13,Environments!$A$5:$K$50,11,FALSE),0)</f>
        <v/>
      </c>
      <c r="P13">
        <f>(D13*K13+F13*L13+H13*M13+J13*N13)*Global!$B$5</f>
        <v/>
      </c>
      <c r="Q13">
        <f>IF(SUMIF(Measurement!$B:$B,B13,Measurement!$J:$J)=0,D13*O13,J13*O13)</f>
        <v/>
      </c>
      <c r="R13">
        <f>P13+Q13</f>
        <v/>
      </c>
      <c r="S13">
        <f>IF(IFERROR(VLOOKUP(B13,Environments!$A$5:$K$50,3,FALSE),FALSE),R13*$B$2,0)</f>
        <v/>
      </c>
      <c r="T13">
        <f>R13+S13</f>
        <v/>
      </c>
      <c r="U13">
        <f>T13*12</f>
        <v/>
      </c>
    </row>
    <row r="14">
      <c r="A14">
        <f>Measurement!A12</f>
        <v/>
      </c>
      <c r="B14">
        <f>Measurement!B12</f>
        <v/>
      </c>
      <c r="C14">
        <f>Measurement!G12</f>
        <v/>
      </c>
      <c r="D14">
        <f>IF(SUMIF(Measurement!$B:$B,B14,Measurement!$G:$G)=0,0,C14/SUMIF(Measurement!$B:$B,B14,Measurement!$G:$G))</f>
        <v/>
      </c>
      <c r="E14">
        <f>Measurement!H12</f>
        <v/>
      </c>
      <c r="F14">
        <f>IF(SUMIF(Measurement!$B:$B,B14,Measurement!$H:$H)=0,0,E14/SUMIF(Measurement!$B:$B,B14,Measurement!$H:$H))</f>
        <v/>
      </c>
      <c r="G14">
        <f>Measurement!I12</f>
        <v/>
      </c>
      <c r="H14">
        <f>IF(SUMIF(Measurement!$B:$B,B14,Measurement!$I:$I)=0,0,G14/SUMIF(Measurement!$B:$B,B14,Measurement!$I:$I))</f>
        <v/>
      </c>
      <c r="I14">
        <f>Measurement!J12</f>
        <v/>
      </c>
      <c r="J14">
        <f>IF(SUMIF(Measurement!$B:$B,B14,Measurement!$J:$J)=0,0,I14/SUMIF(Measurement!$B:$B,B14,Measurement!$J:$J))</f>
        <v/>
      </c>
      <c r="K14">
        <f>IFERROR(VLOOKUP(B14,Environments!$A$5:$K$50,4,FALSE),0)</f>
        <v/>
      </c>
      <c r="L14">
        <f>IFERROR(VLOOKUP(B14,Environments!$A$5:$K$50,5,FALSE),0)</f>
        <v/>
      </c>
      <c r="M14">
        <f>IFERROR(VLOOKUP(B14,Environments!$A$5:$K$50,6,FALSE),0)</f>
        <v/>
      </c>
      <c r="N14">
        <f>IFERROR(VLOOKUP(B14,Environments!$A$5:$K$50,7,FALSE),0)</f>
        <v/>
      </c>
      <c r="O14">
        <f>IFERROR(VLOOKUP(B14,Environments!$A$5:$K$50,11,FALSE),0)</f>
        <v/>
      </c>
      <c r="P14">
        <f>(D14*K14+F14*L14+H14*M14+J14*N14)*Global!$B$5</f>
        <v/>
      </c>
      <c r="Q14">
        <f>IF(SUMIF(Measurement!$B:$B,B14,Measurement!$J:$J)=0,D14*O14,J14*O14)</f>
        <v/>
      </c>
      <c r="R14">
        <f>P14+Q14</f>
        <v/>
      </c>
      <c r="S14">
        <f>IF(IFERROR(VLOOKUP(B14,Environments!$A$5:$K$50,3,FALSE),FALSE),R14*$B$2,0)</f>
        <v/>
      </c>
      <c r="T14">
        <f>R14+S14</f>
        <v/>
      </c>
      <c r="U14">
        <f>T14*12</f>
        <v/>
      </c>
    </row>
    <row r="15">
      <c r="A15">
        <f>Measurement!A13</f>
        <v/>
      </c>
      <c r="B15">
        <f>Measurement!B13</f>
        <v/>
      </c>
      <c r="C15">
        <f>Measurement!G13</f>
        <v/>
      </c>
      <c r="D15">
        <f>IF(SUMIF(Measurement!$B:$B,B15,Measurement!$G:$G)=0,0,C15/SUMIF(Measurement!$B:$B,B15,Measurement!$G:$G))</f>
        <v/>
      </c>
      <c r="E15">
        <f>Measurement!H13</f>
        <v/>
      </c>
      <c r="F15">
        <f>IF(SUMIF(Measurement!$B:$B,B15,Measurement!$H:$H)=0,0,E15/SUMIF(Measurement!$B:$B,B15,Measurement!$H:$H))</f>
        <v/>
      </c>
      <c r="G15">
        <f>Measurement!I13</f>
        <v/>
      </c>
      <c r="H15">
        <f>IF(SUMIF(Measurement!$B:$B,B15,Measurement!$I:$I)=0,0,G15/SUMIF(Measurement!$B:$B,B15,Measurement!$I:$I))</f>
        <v/>
      </c>
      <c r="I15">
        <f>Measurement!J13</f>
        <v/>
      </c>
      <c r="J15">
        <f>IF(SUMIF(Measurement!$B:$B,B15,Measurement!$J:$J)=0,0,I15/SUMIF(Measurement!$B:$B,B15,Measurement!$J:$J))</f>
        <v/>
      </c>
      <c r="K15">
        <f>IFERROR(VLOOKUP(B15,Environments!$A$5:$K$50,4,FALSE),0)</f>
        <v/>
      </c>
      <c r="L15">
        <f>IFERROR(VLOOKUP(B15,Environments!$A$5:$K$50,5,FALSE),0)</f>
        <v/>
      </c>
      <c r="M15">
        <f>IFERROR(VLOOKUP(B15,Environments!$A$5:$K$50,6,FALSE),0)</f>
        <v/>
      </c>
      <c r="N15">
        <f>IFERROR(VLOOKUP(B15,Environments!$A$5:$K$50,7,FALSE),0)</f>
        <v/>
      </c>
      <c r="O15">
        <f>IFERROR(VLOOKUP(B15,Environments!$A$5:$K$50,11,FALSE),0)</f>
        <v/>
      </c>
      <c r="P15">
        <f>(D15*K15+F15*L15+H15*M15+J15*N15)*Global!$B$5</f>
        <v/>
      </c>
      <c r="Q15">
        <f>IF(SUMIF(Measurement!$B:$B,B15,Measurement!$J:$J)=0,D15*O15,J15*O15)</f>
        <v/>
      </c>
      <c r="R15">
        <f>P15+Q15</f>
        <v/>
      </c>
      <c r="S15">
        <f>IF(IFERROR(VLOOKUP(B15,Environments!$A$5:$K$50,3,FALSE),FALSE),R15*$B$2,0)</f>
        <v/>
      </c>
      <c r="T15">
        <f>R15+S15</f>
        <v/>
      </c>
      <c r="U15">
        <f>T15*12</f>
        <v/>
      </c>
    </row>
    <row r="16">
      <c r="A16">
        <f>Measurement!A14</f>
        <v/>
      </c>
      <c r="B16">
        <f>Measurement!B14</f>
        <v/>
      </c>
      <c r="C16">
        <f>Measurement!G14</f>
        <v/>
      </c>
      <c r="D16">
        <f>IF(SUMIF(Measurement!$B:$B,B16,Measurement!$G:$G)=0,0,C16/SUMIF(Measurement!$B:$B,B16,Measurement!$G:$G))</f>
        <v/>
      </c>
      <c r="E16">
        <f>Measurement!H14</f>
        <v/>
      </c>
      <c r="F16">
        <f>IF(SUMIF(Measurement!$B:$B,B16,Measurement!$H:$H)=0,0,E16/SUMIF(Measurement!$B:$B,B16,Measurement!$H:$H))</f>
        <v/>
      </c>
      <c r="G16">
        <f>Measurement!I14</f>
        <v/>
      </c>
      <c r="H16">
        <f>IF(SUMIF(Measurement!$B:$B,B16,Measurement!$I:$I)=0,0,G16/SUMIF(Measurement!$B:$B,B16,Measurement!$I:$I))</f>
        <v/>
      </c>
      <c r="I16">
        <f>Measurement!J14</f>
        <v/>
      </c>
      <c r="J16">
        <f>IF(SUMIF(Measurement!$B:$B,B16,Measurement!$J:$J)=0,0,I16/SUMIF(Measurement!$B:$B,B16,Measurement!$J:$J))</f>
        <v/>
      </c>
      <c r="K16">
        <f>IFERROR(VLOOKUP(B16,Environments!$A$5:$K$50,4,FALSE),0)</f>
        <v/>
      </c>
      <c r="L16">
        <f>IFERROR(VLOOKUP(B16,Environments!$A$5:$K$50,5,FALSE),0)</f>
        <v/>
      </c>
      <c r="M16">
        <f>IFERROR(VLOOKUP(B16,Environments!$A$5:$K$50,6,FALSE),0)</f>
        <v/>
      </c>
      <c r="N16">
        <f>IFERROR(VLOOKUP(B16,Environments!$A$5:$K$50,7,FALSE),0)</f>
        <v/>
      </c>
      <c r="O16">
        <f>IFERROR(VLOOKUP(B16,Environments!$A$5:$K$50,11,FALSE),0)</f>
        <v/>
      </c>
      <c r="P16">
        <f>(D16*K16+F16*L16+H16*M16+J16*N16)*Global!$B$5</f>
        <v/>
      </c>
      <c r="Q16">
        <f>IF(SUMIF(Measurement!$B:$B,B16,Measurement!$J:$J)=0,D16*O16,J16*O16)</f>
        <v/>
      </c>
      <c r="R16">
        <f>P16+Q16</f>
        <v/>
      </c>
      <c r="S16">
        <f>IF(IFERROR(VLOOKUP(B16,Environments!$A$5:$K$50,3,FALSE),FALSE),R16*$B$2,0)</f>
        <v/>
      </c>
      <c r="T16">
        <f>R16+S16</f>
        <v/>
      </c>
      <c r="U16">
        <f>T16*12</f>
        <v/>
      </c>
    </row>
    <row r="17">
      <c r="A17">
        <f>Measurement!A15</f>
        <v/>
      </c>
      <c r="B17">
        <f>Measurement!B15</f>
        <v/>
      </c>
      <c r="C17">
        <f>Measurement!G15</f>
        <v/>
      </c>
      <c r="D17">
        <f>IF(SUMIF(Measurement!$B:$B,B17,Measurement!$G:$G)=0,0,C17/SUMIF(Measurement!$B:$B,B17,Measurement!$G:$G))</f>
        <v/>
      </c>
      <c r="E17">
        <f>Measurement!H15</f>
        <v/>
      </c>
      <c r="F17">
        <f>IF(SUMIF(Measurement!$B:$B,B17,Measurement!$H:$H)=0,0,E17/SUMIF(Measurement!$B:$B,B17,Measurement!$H:$H))</f>
        <v/>
      </c>
      <c r="G17">
        <f>Measurement!I15</f>
        <v/>
      </c>
      <c r="H17">
        <f>IF(SUMIF(Measurement!$B:$B,B17,Measurement!$I:$I)=0,0,G17/SUMIF(Measurement!$B:$B,B17,Measurement!$I:$I))</f>
        <v/>
      </c>
      <c r="I17">
        <f>Measurement!J15</f>
        <v/>
      </c>
      <c r="J17">
        <f>IF(SUMIF(Measurement!$B:$B,B17,Measurement!$J:$J)=0,0,I17/SUMIF(Measurement!$B:$B,B17,Measurement!$J:$J))</f>
        <v/>
      </c>
      <c r="K17">
        <f>IFERROR(VLOOKUP(B17,Environments!$A$5:$K$50,4,FALSE),0)</f>
        <v/>
      </c>
      <c r="L17">
        <f>IFERROR(VLOOKUP(B17,Environments!$A$5:$K$50,5,FALSE),0)</f>
        <v/>
      </c>
      <c r="M17">
        <f>IFERROR(VLOOKUP(B17,Environments!$A$5:$K$50,6,FALSE),0)</f>
        <v/>
      </c>
      <c r="N17">
        <f>IFERROR(VLOOKUP(B17,Environments!$A$5:$K$50,7,FALSE),0)</f>
        <v/>
      </c>
      <c r="O17">
        <f>IFERROR(VLOOKUP(B17,Environments!$A$5:$K$50,11,FALSE),0)</f>
        <v/>
      </c>
      <c r="P17">
        <f>(D17*K17+F17*L17+H17*M17+J17*N17)*Global!$B$5</f>
        <v/>
      </c>
      <c r="Q17">
        <f>IF(SUMIF(Measurement!$B:$B,B17,Measurement!$J:$J)=0,D17*O17,J17*O17)</f>
        <v/>
      </c>
      <c r="R17">
        <f>P17+Q17</f>
        <v/>
      </c>
      <c r="S17">
        <f>IF(IFERROR(VLOOKUP(B17,Environments!$A$5:$K$50,3,FALSE),FALSE),R17*$B$2,0)</f>
        <v/>
      </c>
      <c r="T17">
        <f>R17+S17</f>
        <v/>
      </c>
      <c r="U17">
        <f>T17*12</f>
        <v/>
      </c>
    </row>
    <row r="18">
      <c r="A18">
        <f>Measurement!A16</f>
        <v/>
      </c>
      <c r="B18">
        <f>Measurement!B16</f>
        <v/>
      </c>
      <c r="C18">
        <f>Measurement!G16</f>
        <v/>
      </c>
      <c r="D18">
        <f>IF(SUMIF(Measurement!$B:$B,B18,Measurement!$G:$G)=0,0,C18/SUMIF(Measurement!$B:$B,B18,Measurement!$G:$G))</f>
        <v/>
      </c>
      <c r="E18">
        <f>Measurement!H16</f>
        <v/>
      </c>
      <c r="F18">
        <f>IF(SUMIF(Measurement!$B:$B,B18,Measurement!$H:$H)=0,0,E18/SUMIF(Measurement!$B:$B,B18,Measurement!$H:$H))</f>
        <v/>
      </c>
      <c r="G18">
        <f>Measurement!I16</f>
        <v/>
      </c>
      <c r="H18">
        <f>IF(SUMIF(Measurement!$B:$B,B18,Measurement!$I:$I)=0,0,G18/SUMIF(Measurement!$B:$B,B18,Measurement!$I:$I))</f>
        <v/>
      </c>
      <c r="I18">
        <f>Measurement!J16</f>
        <v/>
      </c>
      <c r="J18">
        <f>IF(SUMIF(Measurement!$B:$B,B18,Measurement!$J:$J)=0,0,I18/SUMIF(Measurement!$B:$B,B18,Measurement!$J:$J))</f>
        <v/>
      </c>
      <c r="K18">
        <f>IFERROR(VLOOKUP(B18,Environments!$A$5:$K$50,4,FALSE),0)</f>
        <v/>
      </c>
      <c r="L18">
        <f>IFERROR(VLOOKUP(B18,Environments!$A$5:$K$50,5,FALSE),0)</f>
        <v/>
      </c>
      <c r="M18">
        <f>IFERROR(VLOOKUP(B18,Environments!$A$5:$K$50,6,FALSE),0)</f>
        <v/>
      </c>
      <c r="N18">
        <f>IFERROR(VLOOKUP(B18,Environments!$A$5:$K$50,7,FALSE),0)</f>
        <v/>
      </c>
      <c r="O18">
        <f>IFERROR(VLOOKUP(B18,Environments!$A$5:$K$50,11,FALSE),0)</f>
        <v/>
      </c>
      <c r="P18">
        <f>(D18*K18+F18*L18+H18*M18+J18*N18)*Global!$B$5</f>
        <v/>
      </c>
      <c r="Q18">
        <f>IF(SUMIF(Measurement!$B:$B,B18,Measurement!$J:$J)=0,D18*O18,J18*O18)</f>
        <v/>
      </c>
      <c r="R18">
        <f>P18+Q18</f>
        <v/>
      </c>
      <c r="S18">
        <f>IF(IFERROR(VLOOKUP(B18,Environments!$A$5:$K$50,3,FALSE),FALSE),R18*$B$2,0)</f>
        <v/>
      </c>
      <c r="T18">
        <f>R18+S18</f>
        <v/>
      </c>
      <c r="U18">
        <f>T18*12</f>
        <v/>
      </c>
    </row>
    <row r="19">
      <c r="A19">
        <f>Measurement!A17</f>
        <v/>
      </c>
      <c r="B19">
        <f>Measurement!B17</f>
        <v/>
      </c>
      <c r="C19">
        <f>Measurement!G17</f>
        <v/>
      </c>
      <c r="D19">
        <f>IF(SUMIF(Measurement!$B:$B,B19,Measurement!$G:$G)=0,0,C19/SUMIF(Measurement!$B:$B,B19,Measurement!$G:$G))</f>
        <v/>
      </c>
      <c r="E19">
        <f>Measurement!H17</f>
        <v/>
      </c>
      <c r="F19">
        <f>IF(SUMIF(Measurement!$B:$B,B19,Measurement!$H:$H)=0,0,E19/SUMIF(Measurement!$B:$B,B19,Measurement!$H:$H))</f>
        <v/>
      </c>
      <c r="G19">
        <f>Measurement!I17</f>
        <v/>
      </c>
      <c r="H19">
        <f>IF(SUMIF(Measurement!$B:$B,B19,Measurement!$I:$I)=0,0,G19/SUMIF(Measurement!$B:$B,B19,Measurement!$I:$I))</f>
        <v/>
      </c>
      <c r="I19">
        <f>Measurement!J17</f>
        <v/>
      </c>
      <c r="J19">
        <f>IF(SUMIF(Measurement!$B:$B,B19,Measurement!$J:$J)=0,0,I19/SUMIF(Measurement!$B:$B,B19,Measurement!$J:$J))</f>
        <v/>
      </c>
      <c r="K19">
        <f>IFERROR(VLOOKUP(B19,Environments!$A$5:$K$50,4,FALSE),0)</f>
        <v/>
      </c>
      <c r="L19">
        <f>IFERROR(VLOOKUP(B19,Environments!$A$5:$K$50,5,FALSE),0)</f>
        <v/>
      </c>
      <c r="M19">
        <f>IFERROR(VLOOKUP(B19,Environments!$A$5:$K$50,6,FALSE),0)</f>
        <v/>
      </c>
      <c r="N19">
        <f>IFERROR(VLOOKUP(B19,Environments!$A$5:$K$50,7,FALSE),0)</f>
        <v/>
      </c>
      <c r="O19">
        <f>IFERROR(VLOOKUP(B19,Environments!$A$5:$K$50,11,FALSE),0)</f>
        <v/>
      </c>
      <c r="P19">
        <f>(D19*K19+F19*L19+H19*M19+J19*N19)*Global!$B$5</f>
        <v/>
      </c>
      <c r="Q19">
        <f>IF(SUMIF(Measurement!$B:$B,B19,Measurement!$J:$J)=0,D19*O19,J19*O19)</f>
        <v/>
      </c>
      <c r="R19">
        <f>P19+Q19</f>
        <v/>
      </c>
      <c r="S19">
        <f>IF(IFERROR(VLOOKUP(B19,Environments!$A$5:$K$50,3,FALSE),FALSE),R19*$B$2,0)</f>
        <v/>
      </c>
      <c r="T19">
        <f>R19+S19</f>
        <v/>
      </c>
      <c r="U19">
        <f>T19*12</f>
        <v/>
      </c>
    </row>
    <row r="20">
      <c r="A20">
        <f>Measurement!A18</f>
        <v/>
      </c>
      <c r="B20">
        <f>Measurement!B18</f>
        <v/>
      </c>
      <c r="C20">
        <f>Measurement!G18</f>
        <v/>
      </c>
      <c r="D20">
        <f>IF(SUMIF(Measurement!$B:$B,B20,Measurement!$G:$G)=0,0,C20/SUMIF(Measurement!$B:$B,B20,Measurement!$G:$G))</f>
        <v/>
      </c>
      <c r="E20">
        <f>Measurement!H18</f>
        <v/>
      </c>
      <c r="F20">
        <f>IF(SUMIF(Measurement!$B:$B,B20,Measurement!$H:$H)=0,0,E20/SUMIF(Measurement!$B:$B,B20,Measurement!$H:$H))</f>
        <v/>
      </c>
      <c r="G20">
        <f>Measurement!I18</f>
        <v/>
      </c>
      <c r="H20">
        <f>IF(SUMIF(Measurement!$B:$B,B20,Measurement!$I:$I)=0,0,G20/SUMIF(Measurement!$B:$B,B20,Measurement!$I:$I))</f>
        <v/>
      </c>
      <c r="I20">
        <f>Measurement!J18</f>
        <v/>
      </c>
      <c r="J20">
        <f>IF(SUMIF(Measurement!$B:$B,B20,Measurement!$J:$J)=0,0,I20/SUMIF(Measurement!$B:$B,B20,Measurement!$J:$J))</f>
        <v/>
      </c>
      <c r="K20">
        <f>IFERROR(VLOOKUP(B20,Environments!$A$5:$K$50,4,FALSE),0)</f>
        <v/>
      </c>
      <c r="L20">
        <f>IFERROR(VLOOKUP(B20,Environments!$A$5:$K$50,5,FALSE),0)</f>
        <v/>
      </c>
      <c r="M20">
        <f>IFERROR(VLOOKUP(B20,Environments!$A$5:$K$50,6,FALSE),0)</f>
        <v/>
      </c>
      <c r="N20">
        <f>IFERROR(VLOOKUP(B20,Environments!$A$5:$K$50,7,FALSE),0)</f>
        <v/>
      </c>
      <c r="O20">
        <f>IFERROR(VLOOKUP(B20,Environments!$A$5:$K$50,11,FALSE),0)</f>
        <v/>
      </c>
      <c r="P20">
        <f>(D20*K20+F20*L20+H20*M20+J20*N20)*Global!$B$5</f>
        <v/>
      </c>
      <c r="Q20">
        <f>IF(SUMIF(Measurement!$B:$B,B20,Measurement!$J:$J)=0,D20*O20,J20*O20)</f>
        <v/>
      </c>
      <c r="R20">
        <f>P20+Q20</f>
        <v/>
      </c>
      <c r="S20">
        <f>IF(IFERROR(VLOOKUP(B20,Environments!$A$5:$K$50,3,FALSE),FALSE),R20*$B$2,0)</f>
        <v/>
      </c>
      <c r="T20">
        <f>R20+S20</f>
        <v/>
      </c>
      <c r="U20">
        <f>T20*12</f>
        <v/>
      </c>
    </row>
    <row r="21">
      <c r="A21">
        <f>Measurement!A19</f>
        <v/>
      </c>
      <c r="B21">
        <f>Measurement!B19</f>
        <v/>
      </c>
      <c r="C21">
        <f>Measurement!G19</f>
        <v/>
      </c>
      <c r="D21">
        <f>IF(SUMIF(Measurement!$B:$B,B21,Measurement!$G:$G)=0,0,C21/SUMIF(Measurement!$B:$B,B21,Measurement!$G:$G))</f>
        <v/>
      </c>
      <c r="E21">
        <f>Measurement!H19</f>
        <v/>
      </c>
      <c r="F21">
        <f>IF(SUMIF(Measurement!$B:$B,B21,Measurement!$H:$H)=0,0,E21/SUMIF(Measurement!$B:$B,B21,Measurement!$H:$H))</f>
        <v/>
      </c>
      <c r="G21">
        <f>Measurement!I19</f>
        <v/>
      </c>
      <c r="H21">
        <f>IF(SUMIF(Measurement!$B:$B,B21,Measurement!$I:$I)=0,0,G21/SUMIF(Measurement!$B:$B,B21,Measurement!$I:$I))</f>
        <v/>
      </c>
      <c r="I21">
        <f>Measurement!J19</f>
        <v/>
      </c>
      <c r="J21">
        <f>IF(SUMIF(Measurement!$B:$B,B21,Measurement!$J:$J)=0,0,I21/SUMIF(Measurement!$B:$B,B21,Measurement!$J:$J))</f>
        <v/>
      </c>
      <c r="K21">
        <f>IFERROR(VLOOKUP(B21,Environments!$A$5:$K$50,4,FALSE),0)</f>
        <v/>
      </c>
      <c r="L21">
        <f>IFERROR(VLOOKUP(B21,Environments!$A$5:$K$50,5,FALSE),0)</f>
        <v/>
      </c>
      <c r="M21">
        <f>IFERROR(VLOOKUP(B21,Environments!$A$5:$K$50,6,FALSE),0)</f>
        <v/>
      </c>
      <c r="N21">
        <f>IFERROR(VLOOKUP(B21,Environments!$A$5:$K$50,7,FALSE),0)</f>
        <v/>
      </c>
      <c r="O21">
        <f>IFERROR(VLOOKUP(B21,Environments!$A$5:$K$50,11,FALSE),0)</f>
        <v/>
      </c>
      <c r="P21">
        <f>(D21*K21+F21*L21+H21*M21+J21*N21)*Global!$B$5</f>
        <v/>
      </c>
      <c r="Q21">
        <f>IF(SUMIF(Measurement!$B:$B,B21,Measurement!$J:$J)=0,D21*O21,J21*O21)</f>
        <v/>
      </c>
      <c r="R21">
        <f>P21+Q21</f>
        <v/>
      </c>
      <c r="S21">
        <f>IF(IFERROR(VLOOKUP(B21,Environments!$A$5:$K$50,3,FALSE),FALSE),R21*$B$2,0)</f>
        <v/>
      </c>
      <c r="T21">
        <f>R21+S21</f>
        <v/>
      </c>
      <c r="U21">
        <f>T21*12</f>
        <v/>
      </c>
    </row>
    <row r="22">
      <c r="A22">
        <f>Measurement!A20</f>
        <v/>
      </c>
      <c r="B22">
        <f>Measurement!B20</f>
        <v/>
      </c>
      <c r="C22">
        <f>Measurement!G20</f>
        <v/>
      </c>
      <c r="D22">
        <f>IF(SUMIF(Measurement!$B:$B,B22,Measurement!$G:$G)=0,0,C22/SUMIF(Measurement!$B:$B,B22,Measurement!$G:$G))</f>
        <v/>
      </c>
      <c r="E22">
        <f>Measurement!H20</f>
        <v/>
      </c>
      <c r="F22">
        <f>IF(SUMIF(Measurement!$B:$B,B22,Measurement!$H:$H)=0,0,E22/SUMIF(Measurement!$B:$B,B22,Measurement!$H:$H))</f>
        <v/>
      </c>
      <c r="G22">
        <f>Measurement!I20</f>
        <v/>
      </c>
      <c r="H22">
        <f>IF(SUMIF(Measurement!$B:$B,B22,Measurement!$I:$I)=0,0,G22/SUMIF(Measurement!$B:$B,B22,Measurement!$I:$I))</f>
        <v/>
      </c>
      <c r="I22">
        <f>Measurement!J20</f>
        <v/>
      </c>
      <c r="J22">
        <f>IF(SUMIF(Measurement!$B:$B,B22,Measurement!$J:$J)=0,0,I22/SUMIF(Measurement!$B:$B,B22,Measurement!$J:$J))</f>
        <v/>
      </c>
      <c r="K22">
        <f>IFERROR(VLOOKUP(B22,Environments!$A$5:$K$50,4,FALSE),0)</f>
        <v/>
      </c>
      <c r="L22">
        <f>IFERROR(VLOOKUP(B22,Environments!$A$5:$K$50,5,FALSE),0)</f>
        <v/>
      </c>
      <c r="M22">
        <f>IFERROR(VLOOKUP(B22,Environments!$A$5:$K$50,6,FALSE),0)</f>
        <v/>
      </c>
      <c r="N22">
        <f>IFERROR(VLOOKUP(B22,Environments!$A$5:$K$50,7,FALSE),0)</f>
        <v/>
      </c>
      <c r="O22">
        <f>IFERROR(VLOOKUP(B22,Environments!$A$5:$K$50,11,FALSE),0)</f>
        <v/>
      </c>
      <c r="P22">
        <f>(D22*K22+F22*L22+H22*M22+J22*N22)*Global!$B$5</f>
        <v/>
      </c>
      <c r="Q22">
        <f>IF(SUMIF(Measurement!$B:$B,B22,Measurement!$J:$J)=0,D22*O22,J22*O22)</f>
        <v/>
      </c>
      <c r="R22">
        <f>P22+Q22</f>
        <v/>
      </c>
      <c r="S22">
        <f>IF(IFERROR(VLOOKUP(B22,Environments!$A$5:$K$50,3,FALSE),FALSE),R22*$B$2,0)</f>
        <v/>
      </c>
      <c r="T22">
        <f>R22+S22</f>
        <v/>
      </c>
      <c r="U22">
        <f>T22*12</f>
        <v/>
      </c>
    </row>
    <row r="23">
      <c r="A23">
        <f>Measurement!A21</f>
        <v/>
      </c>
      <c r="B23">
        <f>Measurement!B21</f>
        <v/>
      </c>
      <c r="C23">
        <f>Measurement!G21</f>
        <v/>
      </c>
      <c r="D23">
        <f>IF(SUMIF(Measurement!$B:$B,B23,Measurement!$G:$G)=0,0,C23/SUMIF(Measurement!$B:$B,B23,Measurement!$G:$G))</f>
        <v/>
      </c>
      <c r="E23">
        <f>Measurement!H21</f>
        <v/>
      </c>
      <c r="F23">
        <f>IF(SUMIF(Measurement!$B:$B,B23,Measurement!$H:$H)=0,0,E23/SUMIF(Measurement!$B:$B,B23,Measurement!$H:$H))</f>
        <v/>
      </c>
      <c r="G23">
        <f>Measurement!I21</f>
        <v/>
      </c>
      <c r="H23">
        <f>IF(SUMIF(Measurement!$B:$B,B23,Measurement!$I:$I)=0,0,G23/SUMIF(Measurement!$B:$B,B23,Measurement!$I:$I))</f>
        <v/>
      </c>
      <c r="I23">
        <f>Measurement!J21</f>
        <v/>
      </c>
      <c r="J23">
        <f>IF(SUMIF(Measurement!$B:$B,B23,Measurement!$J:$J)=0,0,I23/SUMIF(Measurement!$B:$B,B23,Measurement!$J:$J))</f>
        <v/>
      </c>
      <c r="K23">
        <f>IFERROR(VLOOKUP(B23,Environments!$A$5:$K$50,4,FALSE),0)</f>
        <v/>
      </c>
      <c r="L23">
        <f>IFERROR(VLOOKUP(B23,Environments!$A$5:$K$50,5,FALSE),0)</f>
        <v/>
      </c>
      <c r="M23">
        <f>IFERROR(VLOOKUP(B23,Environments!$A$5:$K$50,6,FALSE),0)</f>
        <v/>
      </c>
      <c r="N23">
        <f>IFERROR(VLOOKUP(B23,Environments!$A$5:$K$50,7,FALSE),0)</f>
        <v/>
      </c>
      <c r="O23">
        <f>IFERROR(VLOOKUP(B23,Environments!$A$5:$K$50,11,FALSE),0)</f>
        <v/>
      </c>
      <c r="P23">
        <f>(D23*K23+F23*L23+H23*M23+J23*N23)*Global!$B$5</f>
        <v/>
      </c>
      <c r="Q23">
        <f>IF(SUMIF(Measurement!$B:$B,B23,Measurement!$J:$J)=0,D23*O23,J23*O23)</f>
        <v/>
      </c>
      <c r="R23">
        <f>P23+Q23</f>
        <v/>
      </c>
      <c r="S23">
        <f>IF(IFERROR(VLOOKUP(B23,Environments!$A$5:$K$50,3,FALSE),FALSE),R23*$B$2,0)</f>
        <v/>
      </c>
      <c r="T23">
        <f>R23+S23</f>
        <v/>
      </c>
      <c r="U23">
        <f>T23*12</f>
        <v/>
      </c>
    </row>
    <row r="24">
      <c r="A24">
        <f>Measurement!A22</f>
        <v/>
      </c>
      <c r="B24">
        <f>Measurement!B22</f>
        <v/>
      </c>
      <c r="C24">
        <f>Measurement!G22</f>
        <v/>
      </c>
      <c r="D24">
        <f>IF(SUMIF(Measurement!$B:$B,B24,Measurement!$G:$G)=0,0,C24/SUMIF(Measurement!$B:$B,B24,Measurement!$G:$G))</f>
        <v/>
      </c>
      <c r="E24">
        <f>Measurement!H22</f>
        <v/>
      </c>
      <c r="F24">
        <f>IF(SUMIF(Measurement!$B:$B,B24,Measurement!$H:$H)=0,0,E24/SUMIF(Measurement!$B:$B,B24,Measurement!$H:$H))</f>
        <v/>
      </c>
      <c r="G24">
        <f>Measurement!I22</f>
        <v/>
      </c>
      <c r="H24">
        <f>IF(SUMIF(Measurement!$B:$B,B24,Measurement!$I:$I)=0,0,G24/SUMIF(Measurement!$B:$B,B24,Measurement!$I:$I))</f>
        <v/>
      </c>
      <c r="I24">
        <f>Measurement!J22</f>
        <v/>
      </c>
      <c r="J24">
        <f>IF(SUMIF(Measurement!$B:$B,B24,Measurement!$J:$J)=0,0,I24/SUMIF(Measurement!$B:$B,B24,Measurement!$J:$J))</f>
        <v/>
      </c>
      <c r="K24">
        <f>IFERROR(VLOOKUP(B24,Environments!$A$5:$K$50,4,FALSE),0)</f>
        <v/>
      </c>
      <c r="L24">
        <f>IFERROR(VLOOKUP(B24,Environments!$A$5:$K$50,5,FALSE),0)</f>
        <v/>
      </c>
      <c r="M24">
        <f>IFERROR(VLOOKUP(B24,Environments!$A$5:$K$50,6,FALSE),0)</f>
        <v/>
      </c>
      <c r="N24">
        <f>IFERROR(VLOOKUP(B24,Environments!$A$5:$K$50,7,FALSE),0)</f>
        <v/>
      </c>
      <c r="O24">
        <f>IFERROR(VLOOKUP(B24,Environments!$A$5:$K$50,11,FALSE),0)</f>
        <v/>
      </c>
      <c r="P24">
        <f>(D24*K24+F24*L24+H24*M24+J24*N24)*Global!$B$5</f>
        <v/>
      </c>
      <c r="Q24">
        <f>IF(SUMIF(Measurement!$B:$B,B24,Measurement!$J:$J)=0,D24*O24,J24*O24)</f>
        <v/>
      </c>
      <c r="R24">
        <f>P24+Q24</f>
        <v/>
      </c>
      <c r="S24">
        <f>IF(IFERROR(VLOOKUP(B24,Environments!$A$5:$K$50,3,FALSE),FALSE),R24*$B$2,0)</f>
        <v/>
      </c>
      <c r="T24">
        <f>R24+S24</f>
        <v/>
      </c>
      <c r="U24">
        <f>T24*12</f>
        <v/>
      </c>
    </row>
    <row r="25">
      <c r="A25">
        <f>Measurement!A23</f>
        <v/>
      </c>
      <c r="B25">
        <f>Measurement!B23</f>
        <v/>
      </c>
      <c r="C25">
        <f>Measurement!G23</f>
        <v/>
      </c>
      <c r="D25">
        <f>IF(SUMIF(Measurement!$B:$B,B25,Measurement!$G:$G)=0,0,C25/SUMIF(Measurement!$B:$B,B25,Measurement!$G:$G))</f>
        <v/>
      </c>
      <c r="E25">
        <f>Measurement!H23</f>
        <v/>
      </c>
      <c r="F25">
        <f>IF(SUMIF(Measurement!$B:$B,B25,Measurement!$H:$H)=0,0,E25/SUMIF(Measurement!$B:$B,B25,Measurement!$H:$H))</f>
        <v/>
      </c>
      <c r="G25">
        <f>Measurement!I23</f>
        <v/>
      </c>
      <c r="H25">
        <f>IF(SUMIF(Measurement!$B:$B,B25,Measurement!$I:$I)=0,0,G25/SUMIF(Measurement!$B:$B,B25,Measurement!$I:$I))</f>
        <v/>
      </c>
      <c r="I25">
        <f>Measurement!J23</f>
        <v/>
      </c>
      <c r="J25">
        <f>IF(SUMIF(Measurement!$B:$B,B25,Measurement!$J:$J)=0,0,I25/SUMIF(Measurement!$B:$B,B25,Measurement!$J:$J))</f>
        <v/>
      </c>
      <c r="K25">
        <f>IFERROR(VLOOKUP(B25,Environments!$A$5:$K$50,4,FALSE),0)</f>
        <v/>
      </c>
      <c r="L25">
        <f>IFERROR(VLOOKUP(B25,Environments!$A$5:$K$50,5,FALSE),0)</f>
        <v/>
      </c>
      <c r="M25">
        <f>IFERROR(VLOOKUP(B25,Environments!$A$5:$K$50,6,FALSE),0)</f>
        <v/>
      </c>
      <c r="N25">
        <f>IFERROR(VLOOKUP(B25,Environments!$A$5:$K$50,7,FALSE),0)</f>
        <v/>
      </c>
      <c r="O25">
        <f>IFERROR(VLOOKUP(B25,Environments!$A$5:$K$50,11,FALSE),0)</f>
        <v/>
      </c>
      <c r="P25">
        <f>(D25*K25+F25*L25+H25*M25+J25*N25)*Global!$B$5</f>
        <v/>
      </c>
      <c r="Q25">
        <f>IF(SUMIF(Measurement!$B:$B,B25,Measurement!$J:$J)=0,D25*O25,J25*O25)</f>
        <v/>
      </c>
      <c r="R25">
        <f>P25+Q25</f>
        <v/>
      </c>
      <c r="S25">
        <f>IF(IFERROR(VLOOKUP(B25,Environments!$A$5:$K$50,3,FALSE),FALSE),R25*$B$2,0)</f>
        <v/>
      </c>
      <c r="T25">
        <f>R25+S25</f>
        <v/>
      </c>
      <c r="U25">
        <f>T25*12</f>
        <v/>
      </c>
    </row>
    <row r="26">
      <c r="A26">
        <f>Measurement!A24</f>
        <v/>
      </c>
      <c r="B26">
        <f>Measurement!B24</f>
        <v/>
      </c>
      <c r="C26">
        <f>Measurement!G24</f>
        <v/>
      </c>
      <c r="D26">
        <f>IF(SUMIF(Measurement!$B:$B,B26,Measurement!$G:$G)=0,0,C26/SUMIF(Measurement!$B:$B,B26,Measurement!$G:$G))</f>
        <v/>
      </c>
      <c r="E26">
        <f>Measurement!H24</f>
        <v/>
      </c>
      <c r="F26">
        <f>IF(SUMIF(Measurement!$B:$B,B26,Measurement!$H:$H)=0,0,E26/SUMIF(Measurement!$B:$B,B26,Measurement!$H:$H))</f>
        <v/>
      </c>
      <c r="G26">
        <f>Measurement!I24</f>
        <v/>
      </c>
      <c r="H26">
        <f>IF(SUMIF(Measurement!$B:$B,B26,Measurement!$I:$I)=0,0,G26/SUMIF(Measurement!$B:$B,B26,Measurement!$I:$I))</f>
        <v/>
      </c>
      <c r="I26">
        <f>Measurement!J24</f>
        <v/>
      </c>
      <c r="J26">
        <f>IF(SUMIF(Measurement!$B:$B,B26,Measurement!$J:$J)=0,0,I26/SUMIF(Measurement!$B:$B,B26,Measurement!$J:$J))</f>
        <v/>
      </c>
      <c r="K26">
        <f>IFERROR(VLOOKUP(B26,Environments!$A$5:$K$50,4,FALSE),0)</f>
        <v/>
      </c>
      <c r="L26">
        <f>IFERROR(VLOOKUP(B26,Environments!$A$5:$K$50,5,FALSE),0)</f>
        <v/>
      </c>
      <c r="M26">
        <f>IFERROR(VLOOKUP(B26,Environments!$A$5:$K$50,6,FALSE),0)</f>
        <v/>
      </c>
      <c r="N26">
        <f>IFERROR(VLOOKUP(B26,Environments!$A$5:$K$50,7,FALSE),0)</f>
        <v/>
      </c>
      <c r="O26">
        <f>IFERROR(VLOOKUP(B26,Environments!$A$5:$K$50,11,FALSE),0)</f>
        <v/>
      </c>
      <c r="P26">
        <f>(D26*K26+F26*L26+H26*M26+J26*N26)*Global!$B$5</f>
        <v/>
      </c>
      <c r="Q26">
        <f>IF(SUMIF(Measurement!$B:$B,B26,Measurement!$J:$J)=0,D26*O26,J26*O26)</f>
        <v/>
      </c>
      <c r="R26">
        <f>P26+Q26</f>
        <v/>
      </c>
      <c r="S26">
        <f>IF(IFERROR(VLOOKUP(B26,Environments!$A$5:$K$50,3,FALSE),FALSE),R26*$B$2,0)</f>
        <v/>
      </c>
      <c r="T26">
        <f>R26+S26</f>
        <v/>
      </c>
      <c r="U26">
        <f>T26*12</f>
        <v/>
      </c>
    </row>
    <row r="27">
      <c r="A27">
        <f>Measurement!A25</f>
        <v/>
      </c>
      <c r="B27">
        <f>Measurement!B25</f>
        <v/>
      </c>
      <c r="C27">
        <f>Measurement!G25</f>
        <v/>
      </c>
      <c r="D27">
        <f>IF(SUMIF(Measurement!$B:$B,B27,Measurement!$G:$G)=0,0,C27/SUMIF(Measurement!$B:$B,B27,Measurement!$G:$G))</f>
        <v/>
      </c>
      <c r="E27">
        <f>Measurement!H25</f>
        <v/>
      </c>
      <c r="F27">
        <f>IF(SUMIF(Measurement!$B:$B,B27,Measurement!$H:$H)=0,0,E27/SUMIF(Measurement!$B:$B,B27,Measurement!$H:$H))</f>
        <v/>
      </c>
      <c r="G27">
        <f>Measurement!I25</f>
        <v/>
      </c>
      <c r="H27">
        <f>IF(SUMIF(Measurement!$B:$B,B27,Measurement!$I:$I)=0,0,G27/SUMIF(Measurement!$B:$B,B27,Measurement!$I:$I))</f>
        <v/>
      </c>
      <c r="I27">
        <f>Measurement!J25</f>
        <v/>
      </c>
      <c r="J27">
        <f>IF(SUMIF(Measurement!$B:$B,B27,Measurement!$J:$J)=0,0,I27/SUMIF(Measurement!$B:$B,B27,Measurement!$J:$J))</f>
        <v/>
      </c>
      <c r="K27">
        <f>IFERROR(VLOOKUP(B27,Environments!$A$5:$K$50,4,FALSE),0)</f>
        <v/>
      </c>
      <c r="L27">
        <f>IFERROR(VLOOKUP(B27,Environments!$A$5:$K$50,5,FALSE),0)</f>
        <v/>
      </c>
      <c r="M27">
        <f>IFERROR(VLOOKUP(B27,Environments!$A$5:$K$50,6,FALSE),0)</f>
        <v/>
      </c>
      <c r="N27">
        <f>IFERROR(VLOOKUP(B27,Environments!$A$5:$K$50,7,FALSE),0)</f>
        <v/>
      </c>
      <c r="O27">
        <f>IFERROR(VLOOKUP(B27,Environments!$A$5:$K$50,11,FALSE),0)</f>
        <v/>
      </c>
      <c r="P27">
        <f>(D27*K27+F27*L27+H27*M27+J27*N27)*Global!$B$5</f>
        <v/>
      </c>
      <c r="Q27">
        <f>IF(SUMIF(Measurement!$B:$B,B27,Measurement!$J:$J)=0,D27*O27,J27*O27)</f>
        <v/>
      </c>
      <c r="R27">
        <f>P27+Q27</f>
        <v/>
      </c>
      <c r="S27">
        <f>IF(IFERROR(VLOOKUP(B27,Environments!$A$5:$K$50,3,FALSE),FALSE),R27*$B$2,0)</f>
        <v/>
      </c>
      <c r="T27">
        <f>R27+S27</f>
        <v/>
      </c>
      <c r="U27">
        <f>T27*12</f>
        <v/>
      </c>
    </row>
    <row r="28">
      <c r="A28">
        <f>Measurement!A26</f>
        <v/>
      </c>
      <c r="B28">
        <f>Measurement!B26</f>
        <v/>
      </c>
      <c r="C28">
        <f>Measurement!G26</f>
        <v/>
      </c>
      <c r="D28">
        <f>IF(SUMIF(Measurement!$B:$B,B28,Measurement!$G:$G)=0,0,C28/SUMIF(Measurement!$B:$B,B28,Measurement!$G:$G))</f>
        <v/>
      </c>
      <c r="E28">
        <f>Measurement!H26</f>
        <v/>
      </c>
      <c r="F28">
        <f>IF(SUMIF(Measurement!$B:$B,B28,Measurement!$H:$H)=0,0,E28/SUMIF(Measurement!$B:$B,B28,Measurement!$H:$H))</f>
        <v/>
      </c>
      <c r="G28">
        <f>Measurement!I26</f>
        <v/>
      </c>
      <c r="H28">
        <f>IF(SUMIF(Measurement!$B:$B,B28,Measurement!$I:$I)=0,0,G28/SUMIF(Measurement!$B:$B,B28,Measurement!$I:$I))</f>
        <v/>
      </c>
      <c r="I28">
        <f>Measurement!J26</f>
        <v/>
      </c>
      <c r="J28">
        <f>IF(SUMIF(Measurement!$B:$B,B28,Measurement!$J:$J)=0,0,I28/SUMIF(Measurement!$B:$B,B28,Measurement!$J:$J))</f>
        <v/>
      </c>
      <c r="K28">
        <f>IFERROR(VLOOKUP(B28,Environments!$A$5:$K$50,4,FALSE),0)</f>
        <v/>
      </c>
      <c r="L28">
        <f>IFERROR(VLOOKUP(B28,Environments!$A$5:$K$50,5,FALSE),0)</f>
        <v/>
      </c>
      <c r="M28">
        <f>IFERROR(VLOOKUP(B28,Environments!$A$5:$K$50,6,FALSE),0)</f>
        <v/>
      </c>
      <c r="N28">
        <f>IFERROR(VLOOKUP(B28,Environments!$A$5:$K$50,7,FALSE),0)</f>
        <v/>
      </c>
      <c r="O28">
        <f>IFERROR(VLOOKUP(B28,Environments!$A$5:$K$50,11,FALSE),0)</f>
        <v/>
      </c>
      <c r="P28">
        <f>(D28*K28+F28*L28+H28*M28+J28*N28)*Global!$B$5</f>
        <v/>
      </c>
      <c r="Q28">
        <f>IF(SUMIF(Measurement!$B:$B,B28,Measurement!$J:$J)=0,D28*O28,J28*O28)</f>
        <v/>
      </c>
      <c r="R28">
        <f>P28+Q28</f>
        <v/>
      </c>
      <c r="S28">
        <f>IF(IFERROR(VLOOKUP(B28,Environments!$A$5:$K$50,3,FALSE),FALSE),R28*$B$2,0)</f>
        <v/>
      </c>
      <c r="T28">
        <f>R28+S28</f>
        <v/>
      </c>
      <c r="U28">
        <f>T28*12</f>
        <v/>
      </c>
    </row>
    <row r="29">
      <c r="A29">
        <f>Measurement!A27</f>
        <v/>
      </c>
      <c r="B29">
        <f>Measurement!B27</f>
        <v/>
      </c>
      <c r="C29">
        <f>Measurement!G27</f>
        <v/>
      </c>
      <c r="D29">
        <f>IF(SUMIF(Measurement!$B:$B,B29,Measurement!$G:$G)=0,0,C29/SUMIF(Measurement!$B:$B,B29,Measurement!$G:$G))</f>
        <v/>
      </c>
      <c r="E29">
        <f>Measurement!H27</f>
        <v/>
      </c>
      <c r="F29">
        <f>IF(SUMIF(Measurement!$B:$B,B29,Measurement!$H:$H)=0,0,E29/SUMIF(Measurement!$B:$B,B29,Measurement!$H:$H))</f>
        <v/>
      </c>
      <c r="G29">
        <f>Measurement!I27</f>
        <v/>
      </c>
      <c r="H29">
        <f>IF(SUMIF(Measurement!$B:$B,B29,Measurement!$I:$I)=0,0,G29/SUMIF(Measurement!$B:$B,B29,Measurement!$I:$I))</f>
        <v/>
      </c>
      <c r="I29">
        <f>Measurement!J27</f>
        <v/>
      </c>
      <c r="J29">
        <f>IF(SUMIF(Measurement!$B:$B,B29,Measurement!$J:$J)=0,0,I29/SUMIF(Measurement!$B:$B,B29,Measurement!$J:$J))</f>
        <v/>
      </c>
      <c r="K29">
        <f>IFERROR(VLOOKUP(B29,Environments!$A$5:$K$50,4,FALSE),0)</f>
        <v/>
      </c>
      <c r="L29">
        <f>IFERROR(VLOOKUP(B29,Environments!$A$5:$K$50,5,FALSE),0)</f>
        <v/>
      </c>
      <c r="M29">
        <f>IFERROR(VLOOKUP(B29,Environments!$A$5:$K$50,6,FALSE),0)</f>
        <v/>
      </c>
      <c r="N29">
        <f>IFERROR(VLOOKUP(B29,Environments!$A$5:$K$50,7,FALSE),0)</f>
        <v/>
      </c>
      <c r="O29">
        <f>IFERROR(VLOOKUP(B29,Environments!$A$5:$K$50,11,FALSE),0)</f>
        <v/>
      </c>
      <c r="P29">
        <f>(D29*K29+F29*L29+H29*M29+J29*N29)*Global!$B$5</f>
        <v/>
      </c>
      <c r="Q29">
        <f>IF(SUMIF(Measurement!$B:$B,B29,Measurement!$J:$J)=0,D29*O29,J29*O29)</f>
        <v/>
      </c>
      <c r="R29">
        <f>P29+Q29</f>
        <v/>
      </c>
      <c r="S29">
        <f>IF(IFERROR(VLOOKUP(B29,Environments!$A$5:$K$50,3,FALSE),FALSE),R29*$B$2,0)</f>
        <v/>
      </c>
      <c r="T29">
        <f>R29+S29</f>
        <v/>
      </c>
      <c r="U29">
        <f>T29*12</f>
        <v/>
      </c>
    </row>
    <row r="30">
      <c r="A30">
        <f>Measurement!A28</f>
        <v/>
      </c>
      <c r="B30">
        <f>Measurement!B28</f>
        <v/>
      </c>
      <c r="C30">
        <f>Measurement!G28</f>
        <v/>
      </c>
      <c r="D30">
        <f>IF(SUMIF(Measurement!$B:$B,B30,Measurement!$G:$G)=0,0,C30/SUMIF(Measurement!$B:$B,B30,Measurement!$G:$G))</f>
        <v/>
      </c>
      <c r="E30">
        <f>Measurement!H28</f>
        <v/>
      </c>
      <c r="F30">
        <f>IF(SUMIF(Measurement!$B:$B,B30,Measurement!$H:$H)=0,0,E30/SUMIF(Measurement!$B:$B,B30,Measurement!$H:$H))</f>
        <v/>
      </c>
      <c r="G30">
        <f>Measurement!I28</f>
        <v/>
      </c>
      <c r="H30">
        <f>IF(SUMIF(Measurement!$B:$B,B30,Measurement!$I:$I)=0,0,G30/SUMIF(Measurement!$B:$B,B30,Measurement!$I:$I))</f>
        <v/>
      </c>
      <c r="I30">
        <f>Measurement!J28</f>
        <v/>
      </c>
      <c r="J30">
        <f>IF(SUMIF(Measurement!$B:$B,B30,Measurement!$J:$J)=0,0,I30/SUMIF(Measurement!$B:$B,B30,Measurement!$J:$J))</f>
        <v/>
      </c>
      <c r="K30">
        <f>IFERROR(VLOOKUP(B30,Environments!$A$5:$K$50,4,FALSE),0)</f>
        <v/>
      </c>
      <c r="L30">
        <f>IFERROR(VLOOKUP(B30,Environments!$A$5:$K$50,5,FALSE),0)</f>
        <v/>
      </c>
      <c r="M30">
        <f>IFERROR(VLOOKUP(B30,Environments!$A$5:$K$50,6,FALSE),0)</f>
        <v/>
      </c>
      <c r="N30">
        <f>IFERROR(VLOOKUP(B30,Environments!$A$5:$K$50,7,FALSE),0)</f>
        <v/>
      </c>
      <c r="O30">
        <f>IFERROR(VLOOKUP(B30,Environments!$A$5:$K$50,11,FALSE),0)</f>
        <v/>
      </c>
      <c r="P30">
        <f>(D30*K30+F30*L30+H30*M30+J30*N30)*Global!$B$5</f>
        <v/>
      </c>
      <c r="Q30">
        <f>IF(SUMIF(Measurement!$B:$B,B30,Measurement!$J:$J)=0,D30*O30,J30*O30)</f>
        <v/>
      </c>
      <c r="R30">
        <f>P30+Q30</f>
        <v/>
      </c>
      <c r="S30">
        <f>IF(IFERROR(VLOOKUP(B30,Environments!$A$5:$K$50,3,FALSE),FALSE),R30*$B$2,0)</f>
        <v/>
      </c>
      <c r="T30">
        <f>R30+S30</f>
        <v/>
      </c>
      <c r="U30">
        <f>T30*12</f>
        <v/>
      </c>
    </row>
    <row r="31">
      <c r="A31">
        <f>Measurement!A29</f>
        <v/>
      </c>
      <c r="B31">
        <f>Measurement!B29</f>
        <v/>
      </c>
      <c r="C31">
        <f>Measurement!G29</f>
        <v/>
      </c>
      <c r="D31">
        <f>IF(SUMIF(Measurement!$B:$B,B31,Measurement!$G:$G)=0,0,C31/SUMIF(Measurement!$B:$B,B31,Measurement!$G:$G))</f>
        <v/>
      </c>
      <c r="E31">
        <f>Measurement!H29</f>
        <v/>
      </c>
      <c r="F31">
        <f>IF(SUMIF(Measurement!$B:$B,B31,Measurement!$H:$H)=0,0,E31/SUMIF(Measurement!$B:$B,B31,Measurement!$H:$H))</f>
        <v/>
      </c>
      <c r="G31">
        <f>Measurement!I29</f>
        <v/>
      </c>
      <c r="H31">
        <f>IF(SUMIF(Measurement!$B:$B,B31,Measurement!$I:$I)=0,0,G31/SUMIF(Measurement!$B:$B,B31,Measurement!$I:$I))</f>
        <v/>
      </c>
      <c r="I31">
        <f>Measurement!J29</f>
        <v/>
      </c>
      <c r="J31">
        <f>IF(SUMIF(Measurement!$B:$B,B31,Measurement!$J:$J)=0,0,I31/SUMIF(Measurement!$B:$B,B31,Measurement!$J:$J))</f>
        <v/>
      </c>
      <c r="K31">
        <f>IFERROR(VLOOKUP(B31,Environments!$A$5:$K$50,4,FALSE),0)</f>
        <v/>
      </c>
      <c r="L31">
        <f>IFERROR(VLOOKUP(B31,Environments!$A$5:$K$50,5,FALSE),0)</f>
        <v/>
      </c>
      <c r="M31">
        <f>IFERROR(VLOOKUP(B31,Environments!$A$5:$K$50,6,FALSE),0)</f>
        <v/>
      </c>
      <c r="N31">
        <f>IFERROR(VLOOKUP(B31,Environments!$A$5:$K$50,7,FALSE),0)</f>
        <v/>
      </c>
      <c r="O31">
        <f>IFERROR(VLOOKUP(B31,Environments!$A$5:$K$50,11,FALSE),0)</f>
        <v/>
      </c>
      <c r="P31">
        <f>(D31*K31+F31*L31+H31*M31+J31*N31)*Global!$B$5</f>
        <v/>
      </c>
      <c r="Q31">
        <f>IF(SUMIF(Measurement!$B:$B,B31,Measurement!$J:$J)=0,D31*O31,J31*O31)</f>
        <v/>
      </c>
      <c r="R31">
        <f>P31+Q31</f>
        <v/>
      </c>
      <c r="S31">
        <f>IF(IFERROR(VLOOKUP(B31,Environments!$A$5:$K$50,3,FALSE),FALSE),R31*$B$2,0)</f>
        <v/>
      </c>
      <c r="T31">
        <f>R31+S31</f>
        <v/>
      </c>
      <c r="U31">
        <f>T31*12</f>
        <v/>
      </c>
    </row>
    <row r="32">
      <c r="A32">
        <f>Measurement!A30</f>
        <v/>
      </c>
      <c r="B32">
        <f>Measurement!B30</f>
        <v/>
      </c>
      <c r="C32">
        <f>Measurement!G30</f>
        <v/>
      </c>
      <c r="D32">
        <f>IF(SUMIF(Measurement!$B:$B,B32,Measurement!$G:$G)=0,0,C32/SUMIF(Measurement!$B:$B,B32,Measurement!$G:$G))</f>
        <v/>
      </c>
      <c r="E32">
        <f>Measurement!H30</f>
        <v/>
      </c>
      <c r="F32">
        <f>IF(SUMIF(Measurement!$B:$B,B32,Measurement!$H:$H)=0,0,E32/SUMIF(Measurement!$B:$B,B32,Measurement!$H:$H))</f>
        <v/>
      </c>
      <c r="G32">
        <f>Measurement!I30</f>
        <v/>
      </c>
      <c r="H32">
        <f>IF(SUMIF(Measurement!$B:$B,B32,Measurement!$I:$I)=0,0,G32/SUMIF(Measurement!$B:$B,B32,Measurement!$I:$I))</f>
        <v/>
      </c>
      <c r="I32">
        <f>Measurement!J30</f>
        <v/>
      </c>
      <c r="J32">
        <f>IF(SUMIF(Measurement!$B:$B,B32,Measurement!$J:$J)=0,0,I32/SUMIF(Measurement!$B:$B,B32,Measurement!$J:$J))</f>
        <v/>
      </c>
      <c r="K32">
        <f>IFERROR(VLOOKUP(B32,Environments!$A$5:$K$50,4,FALSE),0)</f>
        <v/>
      </c>
      <c r="L32">
        <f>IFERROR(VLOOKUP(B32,Environments!$A$5:$K$50,5,FALSE),0)</f>
        <v/>
      </c>
      <c r="M32">
        <f>IFERROR(VLOOKUP(B32,Environments!$A$5:$K$50,6,FALSE),0)</f>
        <v/>
      </c>
      <c r="N32">
        <f>IFERROR(VLOOKUP(B32,Environments!$A$5:$K$50,7,FALSE),0)</f>
        <v/>
      </c>
      <c r="O32">
        <f>IFERROR(VLOOKUP(B32,Environments!$A$5:$K$50,11,FALSE),0)</f>
        <v/>
      </c>
      <c r="P32">
        <f>(D32*K32+F32*L32+H32*M32+J32*N32)*Global!$B$5</f>
        <v/>
      </c>
      <c r="Q32">
        <f>IF(SUMIF(Measurement!$B:$B,B32,Measurement!$J:$J)=0,D32*O32,J32*O32)</f>
        <v/>
      </c>
      <c r="R32">
        <f>P32+Q32</f>
        <v/>
      </c>
      <c r="S32">
        <f>IF(IFERROR(VLOOKUP(B32,Environments!$A$5:$K$50,3,FALSE),FALSE),R32*$B$2,0)</f>
        <v/>
      </c>
      <c r="T32">
        <f>R32+S32</f>
        <v/>
      </c>
      <c r="U32">
        <f>T32*12</f>
        <v/>
      </c>
    </row>
    <row r="33">
      <c r="A33">
        <f>Measurement!A31</f>
        <v/>
      </c>
      <c r="B33">
        <f>Measurement!B31</f>
        <v/>
      </c>
      <c r="C33">
        <f>Measurement!G31</f>
        <v/>
      </c>
      <c r="D33">
        <f>IF(SUMIF(Measurement!$B:$B,B33,Measurement!$G:$G)=0,0,C33/SUMIF(Measurement!$B:$B,B33,Measurement!$G:$G))</f>
        <v/>
      </c>
      <c r="E33">
        <f>Measurement!H31</f>
        <v/>
      </c>
      <c r="F33">
        <f>IF(SUMIF(Measurement!$B:$B,B33,Measurement!$H:$H)=0,0,E33/SUMIF(Measurement!$B:$B,B33,Measurement!$H:$H))</f>
        <v/>
      </c>
      <c r="G33">
        <f>Measurement!I31</f>
        <v/>
      </c>
      <c r="H33">
        <f>IF(SUMIF(Measurement!$B:$B,B33,Measurement!$I:$I)=0,0,G33/SUMIF(Measurement!$B:$B,B33,Measurement!$I:$I))</f>
        <v/>
      </c>
      <c r="I33">
        <f>Measurement!J31</f>
        <v/>
      </c>
      <c r="J33">
        <f>IF(SUMIF(Measurement!$B:$B,B33,Measurement!$J:$J)=0,0,I33/SUMIF(Measurement!$B:$B,B33,Measurement!$J:$J))</f>
        <v/>
      </c>
      <c r="K33">
        <f>IFERROR(VLOOKUP(B33,Environments!$A$5:$K$50,4,FALSE),0)</f>
        <v/>
      </c>
      <c r="L33">
        <f>IFERROR(VLOOKUP(B33,Environments!$A$5:$K$50,5,FALSE),0)</f>
        <v/>
      </c>
      <c r="M33">
        <f>IFERROR(VLOOKUP(B33,Environments!$A$5:$K$50,6,FALSE),0)</f>
        <v/>
      </c>
      <c r="N33">
        <f>IFERROR(VLOOKUP(B33,Environments!$A$5:$K$50,7,FALSE),0)</f>
        <v/>
      </c>
      <c r="O33">
        <f>IFERROR(VLOOKUP(B33,Environments!$A$5:$K$50,11,FALSE),0)</f>
        <v/>
      </c>
      <c r="P33">
        <f>(D33*K33+F33*L33+H33*M33+J33*N33)*Global!$B$5</f>
        <v/>
      </c>
      <c r="Q33">
        <f>IF(SUMIF(Measurement!$B:$B,B33,Measurement!$J:$J)=0,D33*O33,J33*O33)</f>
        <v/>
      </c>
      <c r="R33">
        <f>P33+Q33</f>
        <v/>
      </c>
      <c r="S33">
        <f>IF(IFERROR(VLOOKUP(B33,Environments!$A$5:$K$50,3,FALSE),FALSE),R33*$B$2,0)</f>
        <v/>
      </c>
      <c r="T33">
        <f>R33+S33</f>
        <v/>
      </c>
      <c r="U33">
        <f>T33*12</f>
        <v/>
      </c>
    </row>
    <row r="34">
      <c r="A34">
        <f>Measurement!A32</f>
        <v/>
      </c>
      <c r="B34">
        <f>Measurement!B32</f>
        <v/>
      </c>
      <c r="C34">
        <f>Measurement!G32</f>
        <v/>
      </c>
      <c r="D34">
        <f>IF(SUMIF(Measurement!$B:$B,B34,Measurement!$G:$G)=0,0,C34/SUMIF(Measurement!$B:$B,B34,Measurement!$G:$G))</f>
        <v/>
      </c>
      <c r="E34">
        <f>Measurement!H32</f>
        <v/>
      </c>
      <c r="F34">
        <f>IF(SUMIF(Measurement!$B:$B,B34,Measurement!$H:$H)=0,0,E34/SUMIF(Measurement!$B:$B,B34,Measurement!$H:$H))</f>
        <v/>
      </c>
      <c r="G34">
        <f>Measurement!I32</f>
        <v/>
      </c>
      <c r="H34">
        <f>IF(SUMIF(Measurement!$B:$B,B34,Measurement!$I:$I)=0,0,G34/SUMIF(Measurement!$B:$B,B34,Measurement!$I:$I))</f>
        <v/>
      </c>
      <c r="I34">
        <f>Measurement!J32</f>
        <v/>
      </c>
      <c r="J34">
        <f>IF(SUMIF(Measurement!$B:$B,B34,Measurement!$J:$J)=0,0,I34/SUMIF(Measurement!$B:$B,B34,Measurement!$J:$J))</f>
        <v/>
      </c>
      <c r="K34">
        <f>IFERROR(VLOOKUP(B34,Environments!$A$5:$K$50,4,FALSE),0)</f>
        <v/>
      </c>
      <c r="L34">
        <f>IFERROR(VLOOKUP(B34,Environments!$A$5:$K$50,5,FALSE),0)</f>
        <v/>
      </c>
      <c r="M34">
        <f>IFERROR(VLOOKUP(B34,Environments!$A$5:$K$50,6,FALSE),0)</f>
        <v/>
      </c>
      <c r="N34">
        <f>IFERROR(VLOOKUP(B34,Environments!$A$5:$K$50,7,FALSE),0)</f>
        <v/>
      </c>
      <c r="O34">
        <f>IFERROR(VLOOKUP(B34,Environments!$A$5:$K$50,11,FALSE),0)</f>
        <v/>
      </c>
      <c r="P34">
        <f>(D34*K34+F34*L34+H34*M34+J34*N34)*Global!$B$5</f>
        <v/>
      </c>
      <c r="Q34">
        <f>IF(SUMIF(Measurement!$B:$B,B34,Measurement!$J:$J)=0,D34*O34,J34*O34)</f>
        <v/>
      </c>
      <c r="R34">
        <f>P34+Q34</f>
        <v/>
      </c>
      <c r="S34">
        <f>IF(IFERROR(VLOOKUP(B34,Environments!$A$5:$K$50,3,FALSE),FALSE),R34*$B$2,0)</f>
        <v/>
      </c>
      <c r="T34">
        <f>R34+S34</f>
        <v/>
      </c>
      <c r="U34">
        <f>T34*12</f>
        <v/>
      </c>
    </row>
    <row r="35">
      <c r="A35">
        <f>Measurement!A33</f>
        <v/>
      </c>
      <c r="B35">
        <f>Measurement!B33</f>
        <v/>
      </c>
      <c r="C35">
        <f>Measurement!G33</f>
        <v/>
      </c>
      <c r="D35">
        <f>IF(SUMIF(Measurement!$B:$B,B35,Measurement!$G:$G)=0,0,C35/SUMIF(Measurement!$B:$B,B35,Measurement!$G:$G))</f>
        <v/>
      </c>
      <c r="E35">
        <f>Measurement!H33</f>
        <v/>
      </c>
      <c r="F35">
        <f>IF(SUMIF(Measurement!$B:$B,B35,Measurement!$H:$H)=0,0,E35/SUMIF(Measurement!$B:$B,B35,Measurement!$H:$H))</f>
        <v/>
      </c>
      <c r="G35">
        <f>Measurement!I33</f>
        <v/>
      </c>
      <c r="H35">
        <f>IF(SUMIF(Measurement!$B:$B,B35,Measurement!$I:$I)=0,0,G35/SUMIF(Measurement!$B:$B,B35,Measurement!$I:$I))</f>
        <v/>
      </c>
      <c r="I35">
        <f>Measurement!J33</f>
        <v/>
      </c>
      <c r="J35">
        <f>IF(SUMIF(Measurement!$B:$B,B35,Measurement!$J:$J)=0,0,I35/SUMIF(Measurement!$B:$B,B35,Measurement!$J:$J))</f>
        <v/>
      </c>
      <c r="K35">
        <f>IFERROR(VLOOKUP(B35,Environments!$A$5:$K$50,4,FALSE),0)</f>
        <v/>
      </c>
      <c r="L35">
        <f>IFERROR(VLOOKUP(B35,Environments!$A$5:$K$50,5,FALSE),0)</f>
        <v/>
      </c>
      <c r="M35">
        <f>IFERROR(VLOOKUP(B35,Environments!$A$5:$K$50,6,FALSE),0)</f>
        <v/>
      </c>
      <c r="N35">
        <f>IFERROR(VLOOKUP(B35,Environments!$A$5:$K$50,7,FALSE),0)</f>
        <v/>
      </c>
      <c r="O35">
        <f>IFERROR(VLOOKUP(B35,Environments!$A$5:$K$50,11,FALSE),0)</f>
        <v/>
      </c>
      <c r="P35">
        <f>(D35*K35+F35*L35+H35*M35+J35*N35)*Global!$B$5</f>
        <v/>
      </c>
      <c r="Q35">
        <f>IF(SUMIF(Measurement!$B:$B,B35,Measurement!$J:$J)=0,D35*O35,J35*O35)</f>
        <v/>
      </c>
      <c r="R35">
        <f>P35+Q35</f>
        <v/>
      </c>
      <c r="S35">
        <f>IF(IFERROR(VLOOKUP(B35,Environments!$A$5:$K$50,3,FALSE),FALSE),R35*$B$2,0)</f>
        <v/>
      </c>
      <c r="T35">
        <f>R35+S35</f>
        <v/>
      </c>
      <c r="U35">
        <f>T35*12</f>
        <v/>
      </c>
    </row>
    <row r="36">
      <c r="A36">
        <f>Measurement!A34</f>
        <v/>
      </c>
      <c r="B36">
        <f>Measurement!B34</f>
        <v/>
      </c>
      <c r="C36">
        <f>Measurement!G34</f>
        <v/>
      </c>
      <c r="D36">
        <f>IF(SUMIF(Measurement!$B:$B,B36,Measurement!$G:$G)=0,0,C36/SUMIF(Measurement!$B:$B,B36,Measurement!$G:$G))</f>
        <v/>
      </c>
      <c r="E36">
        <f>Measurement!H34</f>
        <v/>
      </c>
      <c r="F36">
        <f>IF(SUMIF(Measurement!$B:$B,B36,Measurement!$H:$H)=0,0,E36/SUMIF(Measurement!$B:$B,B36,Measurement!$H:$H))</f>
        <v/>
      </c>
      <c r="G36">
        <f>Measurement!I34</f>
        <v/>
      </c>
      <c r="H36">
        <f>IF(SUMIF(Measurement!$B:$B,B36,Measurement!$I:$I)=0,0,G36/SUMIF(Measurement!$B:$B,B36,Measurement!$I:$I))</f>
        <v/>
      </c>
      <c r="I36">
        <f>Measurement!J34</f>
        <v/>
      </c>
      <c r="J36">
        <f>IF(SUMIF(Measurement!$B:$B,B36,Measurement!$J:$J)=0,0,I36/SUMIF(Measurement!$B:$B,B36,Measurement!$J:$J))</f>
        <v/>
      </c>
      <c r="K36">
        <f>IFERROR(VLOOKUP(B36,Environments!$A$5:$K$50,4,FALSE),0)</f>
        <v/>
      </c>
      <c r="L36">
        <f>IFERROR(VLOOKUP(B36,Environments!$A$5:$K$50,5,FALSE),0)</f>
        <v/>
      </c>
      <c r="M36">
        <f>IFERROR(VLOOKUP(B36,Environments!$A$5:$K$50,6,FALSE),0)</f>
        <v/>
      </c>
      <c r="N36">
        <f>IFERROR(VLOOKUP(B36,Environments!$A$5:$K$50,7,FALSE),0)</f>
        <v/>
      </c>
      <c r="O36">
        <f>IFERROR(VLOOKUP(B36,Environments!$A$5:$K$50,11,FALSE),0)</f>
        <v/>
      </c>
      <c r="P36">
        <f>(D36*K36+F36*L36+H36*M36+J36*N36)*Global!$B$5</f>
        <v/>
      </c>
      <c r="Q36">
        <f>IF(SUMIF(Measurement!$B:$B,B36,Measurement!$J:$J)=0,D36*O36,J36*O36)</f>
        <v/>
      </c>
      <c r="R36">
        <f>P36+Q36</f>
        <v/>
      </c>
      <c r="S36">
        <f>IF(IFERROR(VLOOKUP(B36,Environments!$A$5:$K$50,3,FALSE),FALSE),R36*$B$2,0)</f>
        <v/>
      </c>
      <c r="T36">
        <f>R36+S36</f>
        <v/>
      </c>
      <c r="U36">
        <f>T36*12</f>
        <v/>
      </c>
    </row>
    <row r="37">
      <c r="A37">
        <f>Measurement!A35</f>
        <v/>
      </c>
      <c r="B37">
        <f>Measurement!B35</f>
        <v/>
      </c>
      <c r="C37">
        <f>Measurement!G35</f>
        <v/>
      </c>
      <c r="D37">
        <f>IF(SUMIF(Measurement!$B:$B,B37,Measurement!$G:$G)=0,0,C37/SUMIF(Measurement!$B:$B,B37,Measurement!$G:$G))</f>
        <v/>
      </c>
      <c r="E37">
        <f>Measurement!H35</f>
        <v/>
      </c>
      <c r="F37">
        <f>IF(SUMIF(Measurement!$B:$B,B37,Measurement!$H:$H)=0,0,E37/SUMIF(Measurement!$B:$B,B37,Measurement!$H:$H))</f>
        <v/>
      </c>
      <c r="G37">
        <f>Measurement!I35</f>
        <v/>
      </c>
      <c r="H37">
        <f>IF(SUMIF(Measurement!$B:$B,B37,Measurement!$I:$I)=0,0,G37/SUMIF(Measurement!$B:$B,B37,Measurement!$I:$I))</f>
        <v/>
      </c>
      <c r="I37">
        <f>Measurement!J35</f>
        <v/>
      </c>
      <c r="J37">
        <f>IF(SUMIF(Measurement!$B:$B,B37,Measurement!$J:$J)=0,0,I37/SUMIF(Measurement!$B:$B,B37,Measurement!$J:$J))</f>
        <v/>
      </c>
      <c r="K37">
        <f>IFERROR(VLOOKUP(B37,Environments!$A$5:$K$50,4,FALSE),0)</f>
        <v/>
      </c>
      <c r="L37">
        <f>IFERROR(VLOOKUP(B37,Environments!$A$5:$K$50,5,FALSE),0)</f>
        <v/>
      </c>
      <c r="M37">
        <f>IFERROR(VLOOKUP(B37,Environments!$A$5:$K$50,6,FALSE),0)</f>
        <v/>
      </c>
      <c r="N37">
        <f>IFERROR(VLOOKUP(B37,Environments!$A$5:$K$50,7,FALSE),0)</f>
        <v/>
      </c>
      <c r="O37">
        <f>IFERROR(VLOOKUP(B37,Environments!$A$5:$K$50,11,FALSE),0)</f>
        <v/>
      </c>
      <c r="P37">
        <f>(D37*K37+F37*L37+H37*M37+J37*N37)*Global!$B$5</f>
        <v/>
      </c>
      <c r="Q37">
        <f>IF(SUMIF(Measurement!$B:$B,B37,Measurement!$J:$J)=0,D37*O37,J37*O37)</f>
        <v/>
      </c>
      <c r="R37">
        <f>P37+Q37</f>
        <v/>
      </c>
      <c r="S37">
        <f>IF(IFERROR(VLOOKUP(B37,Environments!$A$5:$K$50,3,FALSE),FALSE),R37*$B$2,0)</f>
        <v/>
      </c>
      <c r="T37">
        <f>R37+S37</f>
        <v/>
      </c>
      <c r="U37">
        <f>T37*12</f>
        <v/>
      </c>
    </row>
    <row r="38">
      <c r="A38">
        <f>Measurement!A36</f>
        <v/>
      </c>
      <c r="B38">
        <f>Measurement!B36</f>
        <v/>
      </c>
      <c r="C38">
        <f>Measurement!G36</f>
        <v/>
      </c>
      <c r="D38">
        <f>IF(SUMIF(Measurement!$B:$B,B38,Measurement!$G:$G)=0,0,C38/SUMIF(Measurement!$B:$B,B38,Measurement!$G:$G))</f>
        <v/>
      </c>
      <c r="E38">
        <f>Measurement!H36</f>
        <v/>
      </c>
      <c r="F38">
        <f>IF(SUMIF(Measurement!$B:$B,B38,Measurement!$H:$H)=0,0,E38/SUMIF(Measurement!$B:$B,B38,Measurement!$H:$H))</f>
        <v/>
      </c>
      <c r="G38">
        <f>Measurement!I36</f>
        <v/>
      </c>
      <c r="H38">
        <f>IF(SUMIF(Measurement!$B:$B,B38,Measurement!$I:$I)=0,0,G38/SUMIF(Measurement!$B:$B,B38,Measurement!$I:$I))</f>
        <v/>
      </c>
      <c r="I38">
        <f>Measurement!J36</f>
        <v/>
      </c>
      <c r="J38">
        <f>IF(SUMIF(Measurement!$B:$B,B38,Measurement!$J:$J)=0,0,I38/SUMIF(Measurement!$B:$B,B38,Measurement!$J:$J))</f>
        <v/>
      </c>
      <c r="K38">
        <f>IFERROR(VLOOKUP(B38,Environments!$A$5:$K$50,4,FALSE),0)</f>
        <v/>
      </c>
      <c r="L38">
        <f>IFERROR(VLOOKUP(B38,Environments!$A$5:$K$50,5,FALSE),0)</f>
        <v/>
      </c>
      <c r="M38">
        <f>IFERROR(VLOOKUP(B38,Environments!$A$5:$K$50,6,FALSE),0)</f>
        <v/>
      </c>
      <c r="N38">
        <f>IFERROR(VLOOKUP(B38,Environments!$A$5:$K$50,7,FALSE),0)</f>
        <v/>
      </c>
      <c r="O38">
        <f>IFERROR(VLOOKUP(B38,Environments!$A$5:$K$50,11,FALSE),0)</f>
        <v/>
      </c>
      <c r="P38">
        <f>(D38*K38+F38*L38+H38*M38+J38*N38)*Global!$B$5</f>
        <v/>
      </c>
      <c r="Q38">
        <f>IF(SUMIF(Measurement!$B:$B,B38,Measurement!$J:$J)=0,D38*O38,J38*O38)</f>
        <v/>
      </c>
      <c r="R38">
        <f>P38+Q38</f>
        <v/>
      </c>
      <c r="S38">
        <f>IF(IFERROR(VLOOKUP(B38,Environments!$A$5:$K$50,3,FALSE),FALSE),R38*$B$2,0)</f>
        <v/>
      </c>
      <c r="T38">
        <f>R38+S38</f>
        <v/>
      </c>
      <c r="U38">
        <f>T38*12</f>
        <v/>
      </c>
    </row>
    <row r="39">
      <c r="A39">
        <f>Measurement!A37</f>
        <v/>
      </c>
      <c r="B39">
        <f>Measurement!B37</f>
        <v/>
      </c>
      <c r="C39">
        <f>Measurement!G37</f>
        <v/>
      </c>
      <c r="D39">
        <f>IF(SUMIF(Measurement!$B:$B,B39,Measurement!$G:$G)=0,0,C39/SUMIF(Measurement!$B:$B,B39,Measurement!$G:$G))</f>
        <v/>
      </c>
      <c r="E39">
        <f>Measurement!H37</f>
        <v/>
      </c>
      <c r="F39">
        <f>IF(SUMIF(Measurement!$B:$B,B39,Measurement!$H:$H)=0,0,E39/SUMIF(Measurement!$B:$B,B39,Measurement!$H:$H))</f>
        <v/>
      </c>
      <c r="G39">
        <f>Measurement!I37</f>
        <v/>
      </c>
      <c r="H39">
        <f>IF(SUMIF(Measurement!$B:$B,B39,Measurement!$I:$I)=0,0,G39/SUMIF(Measurement!$B:$B,B39,Measurement!$I:$I))</f>
        <v/>
      </c>
      <c r="I39">
        <f>Measurement!J37</f>
        <v/>
      </c>
      <c r="J39">
        <f>IF(SUMIF(Measurement!$B:$B,B39,Measurement!$J:$J)=0,0,I39/SUMIF(Measurement!$B:$B,B39,Measurement!$J:$J))</f>
        <v/>
      </c>
      <c r="K39">
        <f>IFERROR(VLOOKUP(B39,Environments!$A$5:$K$50,4,FALSE),0)</f>
        <v/>
      </c>
      <c r="L39">
        <f>IFERROR(VLOOKUP(B39,Environments!$A$5:$K$50,5,FALSE),0)</f>
        <v/>
      </c>
      <c r="M39">
        <f>IFERROR(VLOOKUP(B39,Environments!$A$5:$K$50,6,FALSE),0)</f>
        <v/>
      </c>
      <c r="N39">
        <f>IFERROR(VLOOKUP(B39,Environments!$A$5:$K$50,7,FALSE),0)</f>
        <v/>
      </c>
      <c r="O39">
        <f>IFERROR(VLOOKUP(B39,Environments!$A$5:$K$50,11,FALSE),0)</f>
        <v/>
      </c>
      <c r="P39">
        <f>(D39*K39+F39*L39+H39*M39+J39*N39)*Global!$B$5</f>
        <v/>
      </c>
      <c r="Q39">
        <f>IF(SUMIF(Measurement!$B:$B,B39,Measurement!$J:$J)=0,D39*O39,J39*O39)</f>
        <v/>
      </c>
      <c r="R39">
        <f>P39+Q39</f>
        <v/>
      </c>
      <c r="S39">
        <f>IF(IFERROR(VLOOKUP(B39,Environments!$A$5:$K$50,3,FALSE),FALSE),R39*$B$2,0)</f>
        <v/>
      </c>
      <c r="T39">
        <f>R39+S39</f>
        <v/>
      </c>
      <c r="U39">
        <f>T39*12</f>
        <v/>
      </c>
    </row>
    <row r="40">
      <c r="A40">
        <f>Measurement!A38</f>
        <v/>
      </c>
      <c r="B40">
        <f>Measurement!B38</f>
        <v/>
      </c>
      <c r="C40">
        <f>Measurement!G38</f>
        <v/>
      </c>
      <c r="D40">
        <f>IF(SUMIF(Measurement!$B:$B,B40,Measurement!$G:$G)=0,0,C40/SUMIF(Measurement!$B:$B,B40,Measurement!$G:$G))</f>
        <v/>
      </c>
      <c r="E40">
        <f>Measurement!H38</f>
        <v/>
      </c>
      <c r="F40">
        <f>IF(SUMIF(Measurement!$B:$B,B40,Measurement!$H:$H)=0,0,E40/SUMIF(Measurement!$B:$B,B40,Measurement!$H:$H))</f>
        <v/>
      </c>
      <c r="G40">
        <f>Measurement!I38</f>
        <v/>
      </c>
      <c r="H40">
        <f>IF(SUMIF(Measurement!$B:$B,B40,Measurement!$I:$I)=0,0,G40/SUMIF(Measurement!$B:$B,B40,Measurement!$I:$I))</f>
        <v/>
      </c>
      <c r="I40">
        <f>Measurement!J38</f>
        <v/>
      </c>
      <c r="J40">
        <f>IF(SUMIF(Measurement!$B:$B,B40,Measurement!$J:$J)=0,0,I40/SUMIF(Measurement!$B:$B,B40,Measurement!$J:$J))</f>
        <v/>
      </c>
      <c r="K40">
        <f>IFERROR(VLOOKUP(B40,Environments!$A$5:$K$50,4,FALSE),0)</f>
        <v/>
      </c>
      <c r="L40">
        <f>IFERROR(VLOOKUP(B40,Environments!$A$5:$K$50,5,FALSE),0)</f>
        <v/>
      </c>
      <c r="M40">
        <f>IFERROR(VLOOKUP(B40,Environments!$A$5:$K$50,6,FALSE),0)</f>
        <v/>
      </c>
      <c r="N40">
        <f>IFERROR(VLOOKUP(B40,Environments!$A$5:$K$50,7,FALSE),0)</f>
        <v/>
      </c>
      <c r="O40">
        <f>IFERROR(VLOOKUP(B40,Environments!$A$5:$K$50,11,FALSE),0)</f>
        <v/>
      </c>
      <c r="P40">
        <f>(D40*K40+F40*L40+H40*M40+J40*N40)*Global!$B$5</f>
        <v/>
      </c>
      <c r="Q40">
        <f>IF(SUMIF(Measurement!$B:$B,B40,Measurement!$J:$J)=0,D40*O40,J40*O40)</f>
        <v/>
      </c>
      <c r="R40">
        <f>P40+Q40</f>
        <v/>
      </c>
      <c r="S40">
        <f>IF(IFERROR(VLOOKUP(B40,Environments!$A$5:$K$50,3,FALSE),FALSE),R40*$B$2,0)</f>
        <v/>
      </c>
      <c r="T40">
        <f>R40+S40</f>
        <v/>
      </c>
      <c r="U40">
        <f>T40*12</f>
        <v/>
      </c>
    </row>
    <row r="41">
      <c r="A41">
        <f>Measurement!A39</f>
        <v/>
      </c>
      <c r="B41">
        <f>Measurement!B39</f>
        <v/>
      </c>
      <c r="C41">
        <f>Measurement!G39</f>
        <v/>
      </c>
      <c r="D41">
        <f>IF(SUMIF(Measurement!$B:$B,B41,Measurement!$G:$G)=0,0,C41/SUMIF(Measurement!$B:$B,B41,Measurement!$G:$G))</f>
        <v/>
      </c>
      <c r="E41">
        <f>Measurement!H39</f>
        <v/>
      </c>
      <c r="F41">
        <f>IF(SUMIF(Measurement!$B:$B,B41,Measurement!$H:$H)=0,0,E41/SUMIF(Measurement!$B:$B,B41,Measurement!$H:$H))</f>
        <v/>
      </c>
      <c r="G41">
        <f>Measurement!I39</f>
        <v/>
      </c>
      <c r="H41">
        <f>IF(SUMIF(Measurement!$B:$B,B41,Measurement!$I:$I)=0,0,G41/SUMIF(Measurement!$B:$B,B41,Measurement!$I:$I))</f>
        <v/>
      </c>
      <c r="I41">
        <f>Measurement!J39</f>
        <v/>
      </c>
      <c r="J41">
        <f>IF(SUMIF(Measurement!$B:$B,B41,Measurement!$J:$J)=0,0,I41/SUMIF(Measurement!$B:$B,B41,Measurement!$J:$J))</f>
        <v/>
      </c>
      <c r="K41">
        <f>IFERROR(VLOOKUP(B41,Environments!$A$5:$K$50,4,FALSE),0)</f>
        <v/>
      </c>
      <c r="L41">
        <f>IFERROR(VLOOKUP(B41,Environments!$A$5:$K$50,5,FALSE),0)</f>
        <v/>
      </c>
      <c r="M41">
        <f>IFERROR(VLOOKUP(B41,Environments!$A$5:$K$50,6,FALSE),0)</f>
        <v/>
      </c>
      <c r="N41">
        <f>IFERROR(VLOOKUP(B41,Environments!$A$5:$K$50,7,FALSE),0)</f>
        <v/>
      </c>
      <c r="O41">
        <f>IFERROR(VLOOKUP(B41,Environments!$A$5:$K$50,11,FALSE),0)</f>
        <v/>
      </c>
      <c r="P41">
        <f>(D41*K41+F41*L41+H41*M41+J41*N41)*Global!$B$5</f>
        <v/>
      </c>
      <c r="Q41">
        <f>IF(SUMIF(Measurement!$B:$B,B41,Measurement!$J:$J)=0,D41*O41,J41*O41)</f>
        <v/>
      </c>
      <c r="R41">
        <f>P41+Q41</f>
        <v/>
      </c>
      <c r="S41">
        <f>IF(IFERROR(VLOOKUP(B41,Environments!$A$5:$K$50,3,FALSE),FALSE),R41*$B$2,0)</f>
        <v/>
      </c>
      <c r="T41">
        <f>R41+S41</f>
        <v/>
      </c>
      <c r="U41">
        <f>T41*12</f>
        <v/>
      </c>
    </row>
    <row r="42">
      <c r="A42">
        <f>Measurement!A40</f>
        <v/>
      </c>
      <c r="B42">
        <f>Measurement!B40</f>
        <v/>
      </c>
      <c r="C42">
        <f>Measurement!G40</f>
        <v/>
      </c>
      <c r="D42">
        <f>IF(SUMIF(Measurement!$B:$B,B42,Measurement!$G:$G)=0,0,C42/SUMIF(Measurement!$B:$B,B42,Measurement!$G:$G))</f>
        <v/>
      </c>
      <c r="E42">
        <f>Measurement!H40</f>
        <v/>
      </c>
      <c r="F42">
        <f>IF(SUMIF(Measurement!$B:$B,B42,Measurement!$H:$H)=0,0,E42/SUMIF(Measurement!$B:$B,B42,Measurement!$H:$H))</f>
        <v/>
      </c>
      <c r="G42">
        <f>Measurement!I40</f>
        <v/>
      </c>
      <c r="H42">
        <f>IF(SUMIF(Measurement!$B:$B,B42,Measurement!$I:$I)=0,0,G42/SUMIF(Measurement!$B:$B,B42,Measurement!$I:$I))</f>
        <v/>
      </c>
      <c r="I42">
        <f>Measurement!J40</f>
        <v/>
      </c>
      <c r="J42">
        <f>IF(SUMIF(Measurement!$B:$B,B42,Measurement!$J:$J)=0,0,I42/SUMIF(Measurement!$B:$B,B42,Measurement!$J:$J))</f>
        <v/>
      </c>
      <c r="K42">
        <f>IFERROR(VLOOKUP(B42,Environments!$A$5:$K$50,4,FALSE),0)</f>
        <v/>
      </c>
      <c r="L42">
        <f>IFERROR(VLOOKUP(B42,Environments!$A$5:$K$50,5,FALSE),0)</f>
        <v/>
      </c>
      <c r="M42">
        <f>IFERROR(VLOOKUP(B42,Environments!$A$5:$K$50,6,FALSE),0)</f>
        <v/>
      </c>
      <c r="N42">
        <f>IFERROR(VLOOKUP(B42,Environments!$A$5:$K$50,7,FALSE),0)</f>
        <v/>
      </c>
      <c r="O42">
        <f>IFERROR(VLOOKUP(B42,Environments!$A$5:$K$50,11,FALSE),0)</f>
        <v/>
      </c>
      <c r="P42">
        <f>(D42*K42+F42*L42+H42*M42+J42*N42)*Global!$B$5</f>
        <v/>
      </c>
      <c r="Q42">
        <f>IF(SUMIF(Measurement!$B:$B,B42,Measurement!$J:$J)=0,D42*O42,J42*O42)</f>
        <v/>
      </c>
      <c r="R42">
        <f>P42+Q42</f>
        <v/>
      </c>
      <c r="S42">
        <f>IF(IFERROR(VLOOKUP(B42,Environments!$A$5:$K$50,3,FALSE),FALSE),R42*$B$2,0)</f>
        <v/>
      </c>
      <c r="T42">
        <f>R42+S42</f>
        <v/>
      </c>
      <c r="U42">
        <f>T42*12</f>
        <v/>
      </c>
    </row>
    <row r="43">
      <c r="A43">
        <f>Measurement!A41</f>
        <v/>
      </c>
      <c r="B43">
        <f>Measurement!B41</f>
        <v/>
      </c>
      <c r="C43">
        <f>Measurement!G41</f>
        <v/>
      </c>
      <c r="D43">
        <f>IF(SUMIF(Measurement!$B:$B,B43,Measurement!$G:$G)=0,0,C43/SUMIF(Measurement!$B:$B,B43,Measurement!$G:$G))</f>
        <v/>
      </c>
      <c r="E43">
        <f>Measurement!H41</f>
        <v/>
      </c>
      <c r="F43">
        <f>IF(SUMIF(Measurement!$B:$B,B43,Measurement!$H:$H)=0,0,E43/SUMIF(Measurement!$B:$B,B43,Measurement!$H:$H))</f>
        <v/>
      </c>
      <c r="G43">
        <f>Measurement!I41</f>
        <v/>
      </c>
      <c r="H43">
        <f>IF(SUMIF(Measurement!$B:$B,B43,Measurement!$I:$I)=0,0,G43/SUMIF(Measurement!$B:$B,B43,Measurement!$I:$I))</f>
        <v/>
      </c>
      <c r="I43">
        <f>Measurement!J41</f>
        <v/>
      </c>
      <c r="J43">
        <f>IF(SUMIF(Measurement!$B:$B,B43,Measurement!$J:$J)=0,0,I43/SUMIF(Measurement!$B:$B,B43,Measurement!$J:$J))</f>
        <v/>
      </c>
      <c r="K43">
        <f>IFERROR(VLOOKUP(B43,Environments!$A$5:$K$50,4,FALSE),0)</f>
        <v/>
      </c>
      <c r="L43">
        <f>IFERROR(VLOOKUP(B43,Environments!$A$5:$K$50,5,FALSE),0)</f>
        <v/>
      </c>
      <c r="M43">
        <f>IFERROR(VLOOKUP(B43,Environments!$A$5:$K$50,6,FALSE),0)</f>
        <v/>
      </c>
      <c r="N43">
        <f>IFERROR(VLOOKUP(B43,Environments!$A$5:$K$50,7,FALSE),0)</f>
        <v/>
      </c>
      <c r="O43">
        <f>IFERROR(VLOOKUP(B43,Environments!$A$5:$K$50,11,FALSE),0)</f>
        <v/>
      </c>
      <c r="P43">
        <f>(D43*K43+F43*L43+H43*M43+J43*N43)*Global!$B$5</f>
        <v/>
      </c>
      <c r="Q43">
        <f>IF(SUMIF(Measurement!$B:$B,B43,Measurement!$J:$J)=0,D43*O43,J43*O43)</f>
        <v/>
      </c>
      <c r="R43">
        <f>P43+Q43</f>
        <v/>
      </c>
      <c r="S43">
        <f>IF(IFERROR(VLOOKUP(B43,Environments!$A$5:$K$50,3,FALSE),FALSE),R43*$B$2,0)</f>
        <v/>
      </c>
      <c r="T43">
        <f>R43+S43</f>
        <v/>
      </c>
      <c r="U43">
        <f>T43*12</f>
        <v/>
      </c>
    </row>
    <row r="44">
      <c r="A44">
        <f>Measurement!A42</f>
        <v/>
      </c>
      <c r="B44">
        <f>Measurement!B42</f>
        <v/>
      </c>
      <c r="C44">
        <f>Measurement!G42</f>
        <v/>
      </c>
      <c r="D44">
        <f>IF(SUMIF(Measurement!$B:$B,B44,Measurement!$G:$G)=0,0,C44/SUMIF(Measurement!$B:$B,B44,Measurement!$G:$G))</f>
        <v/>
      </c>
      <c r="E44">
        <f>Measurement!H42</f>
        <v/>
      </c>
      <c r="F44">
        <f>IF(SUMIF(Measurement!$B:$B,B44,Measurement!$H:$H)=0,0,E44/SUMIF(Measurement!$B:$B,B44,Measurement!$H:$H))</f>
        <v/>
      </c>
      <c r="G44">
        <f>Measurement!I42</f>
        <v/>
      </c>
      <c r="H44">
        <f>IF(SUMIF(Measurement!$B:$B,B44,Measurement!$I:$I)=0,0,G44/SUMIF(Measurement!$B:$B,B44,Measurement!$I:$I))</f>
        <v/>
      </c>
      <c r="I44">
        <f>Measurement!J42</f>
        <v/>
      </c>
      <c r="J44">
        <f>IF(SUMIF(Measurement!$B:$B,B44,Measurement!$J:$J)=0,0,I44/SUMIF(Measurement!$B:$B,B44,Measurement!$J:$J))</f>
        <v/>
      </c>
      <c r="K44">
        <f>IFERROR(VLOOKUP(B44,Environments!$A$5:$K$50,4,FALSE),0)</f>
        <v/>
      </c>
      <c r="L44">
        <f>IFERROR(VLOOKUP(B44,Environments!$A$5:$K$50,5,FALSE),0)</f>
        <v/>
      </c>
      <c r="M44">
        <f>IFERROR(VLOOKUP(B44,Environments!$A$5:$K$50,6,FALSE),0)</f>
        <v/>
      </c>
      <c r="N44">
        <f>IFERROR(VLOOKUP(B44,Environments!$A$5:$K$50,7,FALSE),0)</f>
        <v/>
      </c>
      <c r="O44">
        <f>IFERROR(VLOOKUP(B44,Environments!$A$5:$K$50,11,FALSE),0)</f>
        <v/>
      </c>
      <c r="P44">
        <f>(D44*K44+F44*L44+H44*M44+J44*N44)*Global!$B$5</f>
        <v/>
      </c>
      <c r="Q44">
        <f>IF(SUMIF(Measurement!$B:$B,B44,Measurement!$J:$J)=0,D44*O44,J44*O44)</f>
        <v/>
      </c>
      <c r="R44">
        <f>P44+Q44</f>
        <v/>
      </c>
      <c r="S44">
        <f>IF(IFERROR(VLOOKUP(B44,Environments!$A$5:$K$50,3,FALSE),FALSE),R44*$B$2,0)</f>
        <v/>
      </c>
      <c r="T44">
        <f>R44+S44</f>
        <v/>
      </c>
      <c r="U44">
        <f>T44*12</f>
        <v/>
      </c>
    </row>
    <row r="45">
      <c r="A45">
        <f>Measurement!A43</f>
        <v/>
      </c>
      <c r="B45">
        <f>Measurement!B43</f>
        <v/>
      </c>
      <c r="C45">
        <f>Measurement!G43</f>
        <v/>
      </c>
      <c r="D45">
        <f>IF(SUMIF(Measurement!$B:$B,B45,Measurement!$G:$G)=0,0,C45/SUMIF(Measurement!$B:$B,B45,Measurement!$G:$G))</f>
        <v/>
      </c>
      <c r="E45">
        <f>Measurement!H43</f>
        <v/>
      </c>
      <c r="F45">
        <f>IF(SUMIF(Measurement!$B:$B,B45,Measurement!$H:$H)=0,0,E45/SUMIF(Measurement!$B:$B,B45,Measurement!$H:$H))</f>
        <v/>
      </c>
      <c r="G45">
        <f>Measurement!I43</f>
        <v/>
      </c>
      <c r="H45">
        <f>IF(SUMIF(Measurement!$B:$B,B45,Measurement!$I:$I)=0,0,G45/SUMIF(Measurement!$B:$B,B45,Measurement!$I:$I))</f>
        <v/>
      </c>
      <c r="I45">
        <f>Measurement!J43</f>
        <v/>
      </c>
      <c r="J45">
        <f>IF(SUMIF(Measurement!$B:$B,B45,Measurement!$J:$J)=0,0,I45/SUMIF(Measurement!$B:$B,B45,Measurement!$J:$J))</f>
        <v/>
      </c>
      <c r="K45">
        <f>IFERROR(VLOOKUP(B45,Environments!$A$5:$K$50,4,FALSE),0)</f>
        <v/>
      </c>
      <c r="L45">
        <f>IFERROR(VLOOKUP(B45,Environments!$A$5:$K$50,5,FALSE),0)</f>
        <v/>
      </c>
      <c r="M45">
        <f>IFERROR(VLOOKUP(B45,Environments!$A$5:$K$50,6,FALSE),0)</f>
        <v/>
      </c>
      <c r="N45">
        <f>IFERROR(VLOOKUP(B45,Environments!$A$5:$K$50,7,FALSE),0)</f>
        <v/>
      </c>
      <c r="O45">
        <f>IFERROR(VLOOKUP(B45,Environments!$A$5:$K$50,11,FALSE),0)</f>
        <v/>
      </c>
      <c r="P45">
        <f>(D45*K45+F45*L45+H45*M45+J45*N45)*Global!$B$5</f>
        <v/>
      </c>
      <c r="Q45">
        <f>IF(SUMIF(Measurement!$B:$B,B45,Measurement!$J:$J)=0,D45*O45,J45*O45)</f>
        <v/>
      </c>
      <c r="R45">
        <f>P45+Q45</f>
        <v/>
      </c>
      <c r="S45">
        <f>IF(IFERROR(VLOOKUP(B45,Environments!$A$5:$K$50,3,FALSE),FALSE),R45*$B$2,0)</f>
        <v/>
      </c>
      <c r="T45">
        <f>R45+S45</f>
        <v/>
      </c>
      <c r="U45">
        <f>T45*12</f>
        <v/>
      </c>
    </row>
    <row r="46">
      <c r="A46">
        <f>Measurement!A44</f>
        <v/>
      </c>
      <c r="B46">
        <f>Measurement!B44</f>
        <v/>
      </c>
      <c r="C46">
        <f>Measurement!G44</f>
        <v/>
      </c>
      <c r="D46">
        <f>IF(SUMIF(Measurement!$B:$B,B46,Measurement!$G:$G)=0,0,C46/SUMIF(Measurement!$B:$B,B46,Measurement!$G:$G))</f>
        <v/>
      </c>
      <c r="E46">
        <f>Measurement!H44</f>
        <v/>
      </c>
      <c r="F46">
        <f>IF(SUMIF(Measurement!$B:$B,B46,Measurement!$H:$H)=0,0,E46/SUMIF(Measurement!$B:$B,B46,Measurement!$H:$H))</f>
        <v/>
      </c>
      <c r="G46">
        <f>Measurement!I44</f>
        <v/>
      </c>
      <c r="H46">
        <f>IF(SUMIF(Measurement!$B:$B,B46,Measurement!$I:$I)=0,0,G46/SUMIF(Measurement!$B:$B,B46,Measurement!$I:$I))</f>
        <v/>
      </c>
      <c r="I46">
        <f>Measurement!J44</f>
        <v/>
      </c>
      <c r="J46">
        <f>IF(SUMIF(Measurement!$B:$B,B46,Measurement!$J:$J)=0,0,I46/SUMIF(Measurement!$B:$B,B46,Measurement!$J:$J))</f>
        <v/>
      </c>
      <c r="K46">
        <f>IFERROR(VLOOKUP(B46,Environments!$A$5:$K$50,4,FALSE),0)</f>
        <v/>
      </c>
      <c r="L46">
        <f>IFERROR(VLOOKUP(B46,Environments!$A$5:$K$50,5,FALSE),0)</f>
        <v/>
      </c>
      <c r="M46">
        <f>IFERROR(VLOOKUP(B46,Environments!$A$5:$K$50,6,FALSE),0)</f>
        <v/>
      </c>
      <c r="N46">
        <f>IFERROR(VLOOKUP(B46,Environments!$A$5:$K$50,7,FALSE),0)</f>
        <v/>
      </c>
      <c r="O46">
        <f>IFERROR(VLOOKUP(B46,Environments!$A$5:$K$50,11,FALSE),0)</f>
        <v/>
      </c>
      <c r="P46">
        <f>(D46*K46+F46*L46+H46*M46+J46*N46)*Global!$B$5</f>
        <v/>
      </c>
      <c r="Q46">
        <f>IF(SUMIF(Measurement!$B:$B,B46,Measurement!$J:$J)=0,D46*O46,J46*O46)</f>
        <v/>
      </c>
      <c r="R46">
        <f>P46+Q46</f>
        <v/>
      </c>
      <c r="S46">
        <f>IF(IFERROR(VLOOKUP(B46,Environments!$A$5:$K$50,3,FALSE),FALSE),R46*$B$2,0)</f>
        <v/>
      </c>
      <c r="T46">
        <f>R46+S46</f>
        <v/>
      </c>
      <c r="U46">
        <f>T46*12</f>
        <v/>
      </c>
    </row>
    <row r="47">
      <c r="A47">
        <f>Measurement!A45</f>
        <v/>
      </c>
      <c r="B47">
        <f>Measurement!B45</f>
        <v/>
      </c>
      <c r="C47">
        <f>Measurement!G45</f>
        <v/>
      </c>
      <c r="D47">
        <f>IF(SUMIF(Measurement!$B:$B,B47,Measurement!$G:$G)=0,0,C47/SUMIF(Measurement!$B:$B,B47,Measurement!$G:$G))</f>
        <v/>
      </c>
      <c r="E47">
        <f>Measurement!H45</f>
        <v/>
      </c>
      <c r="F47">
        <f>IF(SUMIF(Measurement!$B:$B,B47,Measurement!$H:$H)=0,0,E47/SUMIF(Measurement!$B:$B,B47,Measurement!$H:$H))</f>
        <v/>
      </c>
      <c r="G47">
        <f>Measurement!I45</f>
        <v/>
      </c>
      <c r="H47">
        <f>IF(SUMIF(Measurement!$B:$B,B47,Measurement!$I:$I)=0,0,G47/SUMIF(Measurement!$B:$B,B47,Measurement!$I:$I))</f>
        <v/>
      </c>
      <c r="I47">
        <f>Measurement!J45</f>
        <v/>
      </c>
      <c r="J47">
        <f>IF(SUMIF(Measurement!$B:$B,B47,Measurement!$J:$J)=0,0,I47/SUMIF(Measurement!$B:$B,B47,Measurement!$J:$J))</f>
        <v/>
      </c>
      <c r="K47">
        <f>IFERROR(VLOOKUP(B47,Environments!$A$5:$K$50,4,FALSE),0)</f>
        <v/>
      </c>
      <c r="L47">
        <f>IFERROR(VLOOKUP(B47,Environments!$A$5:$K$50,5,FALSE),0)</f>
        <v/>
      </c>
      <c r="M47">
        <f>IFERROR(VLOOKUP(B47,Environments!$A$5:$K$50,6,FALSE),0)</f>
        <v/>
      </c>
      <c r="N47">
        <f>IFERROR(VLOOKUP(B47,Environments!$A$5:$K$50,7,FALSE),0)</f>
        <v/>
      </c>
      <c r="O47">
        <f>IFERROR(VLOOKUP(B47,Environments!$A$5:$K$50,11,FALSE),0)</f>
        <v/>
      </c>
      <c r="P47">
        <f>(D47*K47+F47*L47+H47*M47+J47*N47)*Global!$B$5</f>
        <v/>
      </c>
      <c r="Q47">
        <f>IF(SUMIF(Measurement!$B:$B,B47,Measurement!$J:$J)=0,D47*O47,J47*O47)</f>
        <v/>
      </c>
      <c r="R47">
        <f>P47+Q47</f>
        <v/>
      </c>
      <c r="S47">
        <f>IF(IFERROR(VLOOKUP(B47,Environments!$A$5:$K$50,3,FALSE),FALSE),R47*$B$2,0)</f>
        <v/>
      </c>
      <c r="T47">
        <f>R47+S47</f>
        <v/>
      </c>
      <c r="U47">
        <f>T47*12</f>
        <v/>
      </c>
    </row>
    <row r="48">
      <c r="A48">
        <f>Measurement!A46</f>
        <v/>
      </c>
      <c r="B48">
        <f>Measurement!B46</f>
        <v/>
      </c>
      <c r="C48">
        <f>Measurement!G46</f>
        <v/>
      </c>
      <c r="D48">
        <f>IF(SUMIF(Measurement!$B:$B,B48,Measurement!$G:$G)=0,0,C48/SUMIF(Measurement!$B:$B,B48,Measurement!$G:$G))</f>
        <v/>
      </c>
      <c r="E48">
        <f>Measurement!H46</f>
        <v/>
      </c>
      <c r="F48">
        <f>IF(SUMIF(Measurement!$B:$B,B48,Measurement!$H:$H)=0,0,E48/SUMIF(Measurement!$B:$B,B48,Measurement!$H:$H))</f>
        <v/>
      </c>
      <c r="G48">
        <f>Measurement!I46</f>
        <v/>
      </c>
      <c r="H48">
        <f>IF(SUMIF(Measurement!$B:$B,B48,Measurement!$I:$I)=0,0,G48/SUMIF(Measurement!$B:$B,B48,Measurement!$I:$I))</f>
        <v/>
      </c>
      <c r="I48">
        <f>Measurement!J46</f>
        <v/>
      </c>
      <c r="J48">
        <f>IF(SUMIF(Measurement!$B:$B,B48,Measurement!$J:$J)=0,0,I48/SUMIF(Measurement!$B:$B,B48,Measurement!$J:$J))</f>
        <v/>
      </c>
      <c r="K48">
        <f>IFERROR(VLOOKUP(B48,Environments!$A$5:$K$50,4,FALSE),0)</f>
        <v/>
      </c>
      <c r="L48">
        <f>IFERROR(VLOOKUP(B48,Environments!$A$5:$K$50,5,FALSE),0)</f>
        <v/>
      </c>
      <c r="M48">
        <f>IFERROR(VLOOKUP(B48,Environments!$A$5:$K$50,6,FALSE),0)</f>
        <v/>
      </c>
      <c r="N48">
        <f>IFERROR(VLOOKUP(B48,Environments!$A$5:$K$50,7,FALSE),0)</f>
        <v/>
      </c>
      <c r="O48">
        <f>IFERROR(VLOOKUP(B48,Environments!$A$5:$K$50,11,FALSE),0)</f>
        <v/>
      </c>
      <c r="P48">
        <f>(D48*K48+F48*L48+H48*M48+J48*N48)*Global!$B$5</f>
        <v/>
      </c>
      <c r="Q48">
        <f>IF(SUMIF(Measurement!$B:$B,B48,Measurement!$J:$J)=0,D48*O48,J48*O48)</f>
        <v/>
      </c>
      <c r="R48">
        <f>P48+Q48</f>
        <v/>
      </c>
      <c r="S48">
        <f>IF(IFERROR(VLOOKUP(B48,Environments!$A$5:$K$50,3,FALSE),FALSE),R48*$B$2,0)</f>
        <v/>
      </c>
      <c r="T48">
        <f>R48+S48</f>
        <v/>
      </c>
      <c r="U48">
        <f>T48*12</f>
        <v/>
      </c>
    </row>
    <row r="49">
      <c r="A49">
        <f>Measurement!A47</f>
        <v/>
      </c>
      <c r="B49">
        <f>Measurement!B47</f>
        <v/>
      </c>
      <c r="C49">
        <f>Measurement!G47</f>
        <v/>
      </c>
      <c r="D49">
        <f>IF(SUMIF(Measurement!$B:$B,B49,Measurement!$G:$G)=0,0,C49/SUMIF(Measurement!$B:$B,B49,Measurement!$G:$G))</f>
        <v/>
      </c>
      <c r="E49">
        <f>Measurement!H47</f>
        <v/>
      </c>
      <c r="F49">
        <f>IF(SUMIF(Measurement!$B:$B,B49,Measurement!$H:$H)=0,0,E49/SUMIF(Measurement!$B:$B,B49,Measurement!$H:$H))</f>
        <v/>
      </c>
      <c r="G49">
        <f>Measurement!I47</f>
        <v/>
      </c>
      <c r="H49">
        <f>IF(SUMIF(Measurement!$B:$B,B49,Measurement!$I:$I)=0,0,G49/SUMIF(Measurement!$B:$B,B49,Measurement!$I:$I))</f>
        <v/>
      </c>
      <c r="I49">
        <f>Measurement!J47</f>
        <v/>
      </c>
      <c r="J49">
        <f>IF(SUMIF(Measurement!$B:$B,B49,Measurement!$J:$J)=0,0,I49/SUMIF(Measurement!$B:$B,B49,Measurement!$J:$J))</f>
        <v/>
      </c>
      <c r="K49">
        <f>IFERROR(VLOOKUP(B49,Environments!$A$5:$K$50,4,FALSE),0)</f>
        <v/>
      </c>
      <c r="L49">
        <f>IFERROR(VLOOKUP(B49,Environments!$A$5:$K$50,5,FALSE),0)</f>
        <v/>
      </c>
      <c r="M49">
        <f>IFERROR(VLOOKUP(B49,Environments!$A$5:$K$50,6,FALSE),0)</f>
        <v/>
      </c>
      <c r="N49">
        <f>IFERROR(VLOOKUP(B49,Environments!$A$5:$K$50,7,FALSE),0)</f>
        <v/>
      </c>
      <c r="O49">
        <f>IFERROR(VLOOKUP(B49,Environments!$A$5:$K$50,11,FALSE),0)</f>
        <v/>
      </c>
      <c r="P49">
        <f>(D49*K49+F49*L49+H49*M49+J49*N49)*Global!$B$5</f>
        <v/>
      </c>
      <c r="Q49">
        <f>IF(SUMIF(Measurement!$B:$B,B49,Measurement!$J:$J)=0,D49*O49,J49*O49)</f>
        <v/>
      </c>
      <c r="R49">
        <f>P49+Q49</f>
        <v/>
      </c>
      <c r="S49">
        <f>IF(IFERROR(VLOOKUP(B49,Environments!$A$5:$K$50,3,FALSE),FALSE),R49*$B$2,0)</f>
        <v/>
      </c>
      <c r="T49">
        <f>R49+S49</f>
        <v/>
      </c>
      <c r="U49">
        <f>T49*12</f>
        <v/>
      </c>
    </row>
    <row r="50">
      <c r="A50">
        <f>Measurement!A48</f>
        <v/>
      </c>
      <c r="B50">
        <f>Measurement!B48</f>
        <v/>
      </c>
      <c r="C50">
        <f>Measurement!G48</f>
        <v/>
      </c>
      <c r="D50">
        <f>IF(SUMIF(Measurement!$B:$B,B50,Measurement!$G:$G)=0,0,C50/SUMIF(Measurement!$B:$B,B50,Measurement!$G:$G))</f>
        <v/>
      </c>
      <c r="E50">
        <f>Measurement!H48</f>
        <v/>
      </c>
      <c r="F50">
        <f>IF(SUMIF(Measurement!$B:$B,B50,Measurement!$H:$H)=0,0,E50/SUMIF(Measurement!$B:$B,B50,Measurement!$H:$H))</f>
        <v/>
      </c>
      <c r="G50">
        <f>Measurement!I48</f>
        <v/>
      </c>
      <c r="H50">
        <f>IF(SUMIF(Measurement!$B:$B,B50,Measurement!$I:$I)=0,0,G50/SUMIF(Measurement!$B:$B,B50,Measurement!$I:$I))</f>
        <v/>
      </c>
      <c r="I50">
        <f>Measurement!J48</f>
        <v/>
      </c>
      <c r="J50">
        <f>IF(SUMIF(Measurement!$B:$B,B50,Measurement!$J:$J)=0,0,I50/SUMIF(Measurement!$B:$B,B50,Measurement!$J:$J))</f>
        <v/>
      </c>
      <c r="K50">
        <f>IFERROR(VLOOKUP(B50,Environments!$A$5:$K$50,4,FALSE),0)</f>
        <v/>
      </c>
      <c r="L50">
        <f>IFERROR(VLOOKUP(B50,Environments!$A$5:$K$50,5,FALSE),0)</f>
        <v/>
      </c>
      <c r="M50">
        <f>IFERROR(VLOOKUP(B50,Environments!$A$5:$K$50,6,FALSE),0)</f>
        <v/>
      </c>
      <c r="N50">
        <f>IFERROR(VLOOKUP(B50,Environments!$A$5:$K$50,7,FALSE),0)</f>
        <v/>
      </c>
      <c r="O50">
        <f>IFERROR(VLOOKUP(B50,Environments!$A$5:$K$50,11,FALSE),0)</f>
        <v/>
      </c>
      <c r="P50">
        <f>(D50*K50+F50*L50+H50*M50+J50*N50)*Global!$B$5</f>
        <v/>
      </c>
      <c r="Q50">
        <f>IF(SUMIF(Measurement!$B:$B,B50,Measurement!$J:$J)=0,D50*O50,J50*O50)</f>
        <v/>
      </c>
      <c r="R50">
        <f>P50+Q50</f>
        <v/>
      </c>
      <c r="S50">
        <f>IF(IFERROR(VLOOKUP(B50,Environments!$A$5:$K$50,3,FALSE),FALSE),R50*$B$2,0)</f>
        <v/>
      </c>
      <c r="T50">
        <f>R50+S50</f>
        <v/>
      </c>
      <c r="U50">
        <f>T50*12</f>
        <v/>
      </c>
    </row>
    <row r="51">
      <c r="A51">
        <f>Measurement!A49</f>
        <v/>
      </c>
      <c r="B51">
        <f>Measurement!B49</f>
        <v/>
      </c>
      <c r="C51">
        <f>Measurement!G49</f>
        <v/>
      </c>
      <c r="D51">
        <f>IF(SUMIF(Measurement!$B:$B,B51,Measurement!$G:$G)=0,0,C51/SUMIF(Measurement!$B:$B,B51,Measurement!$G:$G))</f>
        <v/>
      </c>
      <c r="E51">
        <f>Measurement!H49</f>
        <v/>
      </c>
      <c r="F51">
        <f>IF(SUMIF(Measurement!$B:$B,B51,Measurement!$H:$H)=0,0,E51/SUMIF(Measurement!$B:$B,B51,Measurement!$H:$H))</f>
        <v/>
      </c>
      <c r="G51">
        <f>Measurement!I49</f>
        <v/>
      </c>
      <c r="H51">
        <f>IF(SUMIF(Measurement!$B:$B,B51,Measurement!$I:$I)=0,0,G51/SUMIF(Measurement!$B:$B,B51,Measurement!$I:$I))</f>
        <v/>
      </c>
      <c r="I51">
        <f>Measurement!J49</f>
        <v/>
      </c>
      <c r="J51">
        <f>IF(SUMIF(Measurement!$B:$B,B51,Measurement!$J:$J)=0,0,I51/SUMIF(Measurement!$B:$B,B51,Measurement!$J:$J))</f>
        <v/>
      </c>
      <c r="K51">
        <f>IFERROR(VLOOKUP(B51,Environments!$A$5:$K$50,4,FALSE),0)</f>
        <v/>
      </c>
      <c r="L51">
        <f>IFERROR(VLOOKUP(B51,Environments!$A$5:$K$50,5,FALSE),0)</f>
        <v/>
      </c>
      <c r="M51">
        <f>IFERROR(VLOOKUP(B51,Environments!$A$5:$K$50,6,FALSE),0)</f>
        <v/>
      </c>
      <c r="N51">
        <f>IFERROR(VLOOKUP(B51,Environments!$A$5:$K$50,7,FALSE),0)</f>
        <v/>
      </c>
      <c r="O51">
        <f>IFERROR(VLOOKUP(B51,Environments!$A$5:$K$50,11,FALSE),0)</f>
        <v/>
      </c>
      <c r="P51">
        <f>(D51*K51+F51*L51+H51*M51+J51*N51)*Global!$B$5</f>
        <v/>
      </c>
      <c r="Q51">
        <f>IF(SUMIF(Measurement!$B:$B,B51,Measurement!$J:$J)=0,D51*O51,J51*O51)</f>
        <v/>
      </c>
      <c r="R51">
        <f>P51+Q51</f>
        <v/>
      </c>
      <c r="S51">
        <f>IF(IFERROR(VLOOKUP(B51,Environments!$A$5:$K$50,3,FALSE),FALSE),R51*$B$2,0)</f>
        <v/>
      </c>
      <c r="T51">
        <f>R51+S51</f>
        <v/>
      </c>
      <c r="U51">
        <f>T51*12</f>
        <v/>
      </c>
    </row>
    <row r="52">
      <c r="A52">
        <f>Measurement!A50</f>
        <v/>
      </c>
      <c r="B52">
        <f>Measurement!B50</f>
        <v/>
      </c>
      <c r="C52">
        <f>Measurement!G50</f>
        <v/>
      </c>
      <c r="D52">
        <f>IF(SUMIF(Measurement!$B:$B,B52,Measurement!$G:$G)=0,0,C52/SUMIF(Measurement!$B:$B,B52,Measurement!$G:$G))</f>
        <v/>
      </c>
      <c r="E52">
        <f>Measurement!H50</f>
        <v/>
      </c>
      <c r="F52">
        <f>IF(SUMIF(Measurement!$B:$B,B52,Measurement!$H:$H)=0,0,E52/SUMIF(Measurement!$B:$B,B52,Measurement!$H:$H))</f>
        <v/>
      </c>
      <c r="G52">
        <f>Measurement!I50</f>
        <v/>
      </c>
      <c r="H52">
        <f>IF(SUMIF(Measurement!$B:$B,B52,Measurement!$I:$I)=0,0,G52/SUMIF(Measurement!$B:$B,B52,Measurement!$I:$I))</f>
        <v/>
      </c>
      <c r="I52">
        <f>Measurement!J50</f>
        <v/>
      </c>
      <c r="J52">
        <f>IF(SUMIF(Measurement!$B:$B,B52,Measurement!$J:$J)=0,0,I52/SUMIF(Measurement!$B:$B,B52,Measurement!$J:$J))</f>
        <v/>
      </c>
      <c r="K52">
        <f>IFERROR(VLOOKUP(B52,Environments!$A$5:$K$50,4,FALSE),0)</f>
        <v/>
      </c>
      <c r="L52">
        <f>IFERROR(VLOOKUP(B52,Environments!$A$5:$K$50,5,FALSE),0)</f>
        <v/>
      </c>
      <c r="M52">
        <f>IFERROR(VLOOKUP(B52,Environments!$A$5:$K$50,6,FALSE),0)</f>
        <v/>
      </c>
      <c r="N52">
        <f>IFERROR(VLOOKUP(B52,Environments!$A$5:$K$50,7,FALSE),0)</f>
        <v/>
      </c>
      <c r="O52">
        <f>IFERROR(VLOOKUP(B52,Environments!$A$5:$K$50,11,FALSE),0)</f>
        <v/>
      </c>
      <c r="P52">
        <f>(D52*K52+F52*L52+H52*M52+J52*N52)*Global!$B$5</f>
        <v/>
      </c>
      <c r="Q52">
        <f>IF(SUMIF(Measurement!$B:$B,B52,Measurement!$J:$J)=0,D52*O52,J52*O52)</f>
        <v/>
      </c>
      <c r="R52">
        <f>P52+Q52</f>
        <v/>
      </c>
      <c r="S52">
        <f>IF(IFERROR(VLOOKUP(B52,Environments!$A$5:$K$50,3,FALSE),FALSE),R52*$B$2,0)</f>
        <v/>
      </c>
      <c r="T52">
        <f>R52+S52</f>
        <v/>
      </c>
      <c r="U52">
        <f>T52*12</f>
        <v/>
      </c>
    </row>
    <row r="53">
      <c r="A53">
        <f>Measurement!A51</f>
        <v/>
      </c>
      <c r="B53">
        <f>Measurement!B51</f>
        <v/>
      </c>
      <c r="C53">
        <f>Measurement!G51</f>
        <v/>
      </c>
      <c r="D53">
        <f>IF(SUMIF(Measurement!$B:$B,B53,Measurement!$G:$G)=0,0,C53/SUMIF(Measurement!$B:$B,B53,Measurement!$G:$G))</f>
        <v/>
      </c>
      <c r="E53">
        <f>Measurement!H51</f>
        <v/>
      </c>
      <c r="F53">
        <f>IF(SUMIF(Measurement!$B:$B,B53,Measurement!$H:$H)=0,0,E53/SUMIF(Measurement!$B:$B,B53,Measurement!$H:$H))</f>
        <v/>
      </c>
      <c r="G53">
        <f>Measurement!I51</f>
        <v/>
      </c>
      <c r="H53">
        <f>IF(SUMIF(Measurement!$B:$B,B53,Measurement!$I:$I)=0,0,G53/SUMIF(Measurement!$B:$B,B53,Measurement!$I:$I))</f>
        <v/>
      </c>
      <c r="I53">
        <f>Measurement!J51</f>
        <v/>
      </c>
      <c r="J53">
        <f>IF(SUMIF(Measurement!$B:$B,B53,Measurement!$J:$J)=0,0,I53/SUMIF(Measurement!$B:$B,B53,Measurement!$J:$J))</f>
        <v/>
      </c>
      <c r="K53">
        <f>IFERROR(VLOOKUP(B53,Environments!$A$5:$K$50,4,FALSE),0)</f>
        <v/>
      </c>
      <c r="L53">
        <f>IFERROR(VLOOKUP(B53,Environments!$A$5:$K$50,5,FALSE),0)</f>
        <v/>
      </c>
      <c r="M53">
        <f>IFERROR(VLOOKUP(B53,Environments!$A$5:$K$50,6,FALSE),0)</f>
        <v/>
      </c>
      <c r="N53">
        <f>IFERROR(VLOOKUP(B53,Environments!$A$5:$K$50,7,FALSE),0)</f>
        <v/>
      </c>
      <c r="O53">
        <f>IFERROR(VLOOKUP(B53,Environments!$A$5:$K$50,11,FALSE),0)</f>
        <v/>
      </c>
      <c r="P53">
        <f>(D53*K53+F53*L53+H53*M53+J53*N53)*Global!$B$5</f>
        <v/>
      </c>
      <c r="Q53">
        <f>IF(SUMIF(Measurement!$B:$B,B53,Measurement!$J:$J)=0,D53*O53,J53*O53)</f>
        <v/>
      </c>
      <c r="R53">
        <f>P53+Q53</f>
        <v/>
      </c>
      <c r="S53">
        <f>IF(IFERROR(VLOOKUP(B53,Environments!$A$5:$K$50,3,FALSE),FALSE),R53*$B$2,0)</f>
        <v/>
      </c>
      <c r="T53">
        <f>R53+S53</f>
        <v/>
      </c>
      <c r="U53">
        <f>T53*12</f>
        <v/>
      </c>
    </row>
    <row r="54">
      <c r="A54">
        <f>Measurement!A52</f>
        <v/>
      </c>
      <c r="B54">
        <f>Measurement!B52</f>
        <v/>
      </c>
      <c r="C54">
        <f>Measurement!G52</f>
        <v/>
      </c>
      <c r="D54">
        <f>IF(SUMIF(Measurement!$B:$B,B54,Measurement!$G:$G)=0,0,C54/SUMIF(Measurement!$B:$B,B54,Measurement!$G:$G))</f>
        <v/>
      </c>
      <c r="E54">
        <f>Measurement!H52</f>
        <v/>
      </c>
      <c r="F54">
        <f>IF(SUMIF(Measurement!$B:$B,B54,Measurement!$H:$H)=0,0,E54/SUMIF(Measurement!$B:$B,B54,Measurement!$H:$H))</f>
        <v/>
      </c>
      <c r="G54">
        <f>Measurement!I52</f>
        <v/>
      </c>
      <c r="H54">
        <f>IF(SUMIF(Measurement!$B:$B,B54,Measurement!$I:$I)=0,0,G54/SUMIF(Measurement!$B:$B,B54,Measurement!$I:$I))</f>
        <v/>
      </c>
      <c r="I54">
        <f>Measurement!J52</f>
        <v/>
      </c>
      <c r="J54">
        <f>IF(SUMIF(Measurement!$B:$B,B54,Measurement!$J:$J)=0,0,I54/SUMIF(Measurement!$B:$B,B54,Measurement!$J:$J))</f>
        <v/>
      </c>
      <c r="K54">
        <f>IFERROR(VLOOKUP(B54,Environments!$A$5:$K$50,4,FALSE),0)</f>
        <v/>
      </c>
      <c r="L54">
        <f>IFERROR(VLOOKUP(B54,Environments!$A$5:$K$50,5,FALSE),0)</f>
        <v/>
      </c>
      <c r="M54">
        <f>IFERROR(VLOOKUP(B54,Environments!$A$5:$K$50,6,FALSE),0)</f>
        <v/>
      </c>
      <c r="N54">
        <f>IFERROR(VLOOKUP(B54,Environments!$A$5:$K$50,7,FALSE),0)</f>
        <v/>
      </c>
      <c r="O54">
        <f>IFERROR(VLOOKUP(B54,Environments!$A$5:$K$50,11,FALSE),0)</f>
        <v/>
      </c>
      <c r="P54">
        <f>(D54*K54+F54*L54+H54*M54+J54*N54)*Global!$B$5</f>
        <v/>
      </c>
      <c r="Q54">
        <f>IF(SUMIF(Measurement!$B:$B,B54,Measurement!$J:$J)=0,D54*O54,J54*O54)</f>
        <v/>
      </c>
      <c r="R54">
        <f>P54+Q54</f>
        <v/>
      </c>
      <c r="S54">
        <f>IF(IFERROR(VLOOKUP(B54,Environments!$A$5:$K$50,3,FALSE),FALSE),R54*$B$2,0)</f>
        <v/>
      </c>
      <c r="T54">
        <f>R54+S54</f>
        <v/>
      </c>
      <c r="U54">
        <f>T54*12</f>
        <v/>
      </c>
    </row>
    <row r="55">
      <c r="A55">
        <f>Measurement!A53</f>
        <v/>
      </c>
      <c r="B55">
        <f>Measurement!B53</f>
        <v/>
      </c>
      <c r="C55">
        <f>Measurement!G53</f>
        <v/>
      </c>
      <c r="D55">
        <f>IF(SUMIF(Measurement!$B:$B,B55,Measurement!$G:$G)=0,0,C55/SUMIF(Measurement!$B:$B,B55,Measurement!$G:$G))</f>
        <v/>
      </c>
      <c r="E55">
        <f>Measurement!H53</f>
        <v/>
      </c>
      <c r="F55">
        <f>IF(SUMIF(Measurement!$B:$B,B55,Measurement!$H:$H)=0,0,E55/SUMIF(Measurement!$B:$B,B55,Measurement!$H:$H))</f>
        <v/>
      </c>
      <c r="G55">
        <f>Measurement!I53</f>
        <v/>
      </c>
      <c r="H55">
        <f>IF(SUMIF(Measurement!$B:$B,B55,Measurement!$I:$I)=0,0,G55/SUMIF(Measurement!$B:$B,B55,Measurement!$I:$I))</f>
        <v/>
      </c>
      <c r="I55">
        <f>Measurement!J53</f>
        <v/>
      </c>
      <c r="J55">
        <f>IF(SUMIF(Measurement!$B:$B,B55,Measurement!$J:$J)=0,0,I55/SUMIF(Measurement!$B:$B,B55,Measurement!$J:$J))</f>
        <v/>
      </c>
      <c r="K55">
        <f>IFERROR(VLOOKUP(B55,Environments!$A$5:$K$50,4,FALSE),0)</f>
        <v/>
      </c>
      <c r="L55">
        <f>IFERROR(VLOOKUP(B55,Environments!$A$5:$K$50,5,FALSE),0)</f>
        <v/>
      </c>
      <c r="M55">
        <f>IFERROR(VLOOKUP(B55,Environments!$A$5:$K$50,6,FALSE),0)</f>
        <v/>
      </c>
      <c r="N55">
        <f>IFERROR(VLOOKUP(B55,Environments!$A$5:$K$50,7,FALSE),0)</f>
        <v/>
      </c>
      <c r="O55">
        <f>IFERROR(VLOOKUP(B55,Environments!$A$5:$K$50,11,FALSE),0)</f>
        <v/>
      </c>
      <c r="P55">
        <f>(D55*K55+F55*L55+H55*M55+J55*N55)*Global!$B$5</f>
        <v/>
      </c>
      <c r="Q55">
        <f>IF(SUMIF(Measurement!$B:$B,B55,Measurement!$J:$J)=0,D55*O55,J55*O55)</f>
        <v/>
      </c>
      <c r="R55">
        <f>P55+Q55</f>
        <v/>
      </c>
      <c r="S55">
        <f>IF(IFERROR(VLOOKUP(B55,Environments!$A$5:$K$50,3,FALSE),FALSE),R55*$B$2,0)</f>
        <v/>
      </c>
      <c r="T55">
        <f>R55+S55</f>
        <v/>
      </c>
      <c r="U55">
        <f>T55*12</f>
        <v/>
      </c>
    </row>
    <row r="56">
      <c r="A56">
        <f>Measurement!A54</f>
        <v/>
      </c>
      <c r="B56">
        <f>Measurement!B54</f>
        <v/>
      </c>
      <c r="C56">
        <f>Measurement!G54</f>
        <v/>
      </c>
      <c r="D56">
        <f>IF(SUMIF(Measurement!$B:$B,B56,Measurement!$G:$G)=0,0,C56/SUMIF(Measurement!$B:$B,B56,Measurement!$G:$G))</f>
        <v/>
      </c>
      <c r="E56">
        <f>Measurement!H54</f>
        <v/>
      </c>
      <c r="F56">
        <f>IF(SUMIF(Measurement!$B:$B,B56,Measurement!$H:$H)=0,0,E56/SUMIF(Measurement!$B:$B,B56,Measurement!$H:$H))</f>
        <v/>
      </c>
      <c r="G56">
        <f>Measurement!I54</f>
        <v/>
      </c>
      <c r="H56">
        <f>IF(SUMIF(Measurement!$B:$B,B56,Measurement!$I:$I)=0,0,G56/SUMIF(Measurement!$B:$B,B56,Measurement!$I:$I))</f>
        <v/>
      </c>
      <c r="I56">
        <f>Measurement!J54</f>
        <v/>
      </c>
      <c r="J56">
        <f>IF(SUMIF(Measurement!$B:$B,B56,Measurement!$J:$J)=0,0,I56/SUMIF(Measurement!$B:$B,B56,Measurement!$J:$J))</f>
        <v/>
      </c>
      <c r="K56">
        <f>IFERROR(VLOOKUP(B56,Environments!$A$5:$K$50,4,FALSE),0)</f>
        <v/>
      </c>
      <c r="L56">
        <f>IFERROR(VLOOKUP(B56,Environments!$A$5:$K$50,5,FALSE),0)</f>
        <v/>
      </c>
      <c r="M56">
        <f>IFERROR(VLOOKUP(B56,Environments!$A$5:$K$50,6,FALSE),0)</f>
        <v/>
      </c>
      <c r="N56">
        <f>IFERROR(VLOOKUP(B56,Environments!$A$5:$K$50,7,FALSE),0)</f>
        <v/>
      </c>
      <c r="O56">
        <f>IFERROR(VLOOKUP(B56,Environments!$A$5:$K$50,11,FALSE),0)</f>
        <v/>
      </c>
      <c r="P56">
        <f>(D56*K56+F56*L56+H56*M56+J56*N56)*Global!$B$5</f>
        <v/>
      </c>
      <c r="Q56">
        <f>IF(SUMIF(Measurement!$B:$B,B56,Measurement!$J:$J)=0,D56*O56,J56*O56)</f>
        <v/>
      </c>
      <c r="R56">
        <f>P56+Q56</f>
        <v/>
      </c>
      <c r="S56">
        <f>IF(IFERROR(VLOOKUP(B56,Environments!$A$5:$K$50,3,FALSE),FALSE),R56*$B$2,0)</f>
        <v/>
      </c>
      <c r="T56">
        <f>R56+S56</f>
        <v/>
      </c>
      <c r="U56">
        <f>T56*12</f>
        <v/>
      </c>
    </row>
    <row r="57">
      <c r="A57">
        <f>Measurement!A55</f>
        <v/>
      </c>
      <c r="B57">
        <f>Measurement!B55</f>
        <v/>
      </c>
      <c r="C57">
        <f>Measurement!G55</f>
        <v/>
      </c>
      <c r="D57">
        <f>IF(SUMIF(Measurement!$B:$B,B57,Measurement!$G:$G)=0,0,C57/SUMIF(Measurement!$B:$B,B57,Measurement!$G:$G))</f>
        <v/>
      </c>
      <c r="E57">
        <f>Measurement!H55</f>
        <v/>
      </c>
      <c r="F57">
        <f>IF(SUMIF(Measurement!$B:$B,B57,Measurement!$H:$H)=0,0,E57/SUMIF(Measurement!$B:$B,B57,Measurement!$H:$H))</f>
        <v/>
      </c>
      <c r="G57">
        <f>Measurement!I55</f>
        <v/>
      </c>
      <c r="H57">
        <f>IF(SUMIF(Measurement!$B:$B,B57,Measurement!$I:$I)=0,0,G57/SUMIF(Measurement!$B:$B,B57,Measurement!$I:$I))</f>
        <v/>
      </c>
      <c r="I57">
        <f>Measurement!J55</f>
        <v/>
      </c>
      <c r="J57">
        <f>IF(SUMIF(Measurement!$B:$B,B57,Measurement!$J:$J)=0,0,I57/SUMIF(Measurement!$B:$B,B57,Measurement!$J:$J))</f>
        <v/>
      </c>
      <c r="K57">
        <f>IFERROR(VLOOKUP(B57,Environments!$A$5:$K$50,4,FALSE),0)</f>
        <v/>
      </c>
      <c r="L57">
        <f>IFERROR(VLOOKUP(B57,Environments!$A$5:$K$50,5,FALSE),0)</f>
        <v/>
      </c>
      <c r="M57">
        <f>IFERROR(VLOOKUP(B57,Environments!$A$5:$K$50,6,FALSE),0)</f>
        <v/>
      </c>
      <c r="N57">
        <f>IFERROR(VLOOKUP(B57,Environments!$A$5:$K$50,7,FALSE),0)</f>
        <v/>
      </c>
      <c r="O57">
        <f>IFERROR(VLOOKUP(B57,Environments!$A$5:$K$50,11,FALSE),0)</f>
        <v/>
      </c>
      <c r="P57">
        <f>(D57*K57+F57*L57+H57*M57+J57*N57)*Global!$B$5</f>
        <v/>
      </c>
      <c r="Q57">
        <f>IF(SUMIF(Measurement!$B:$B,B57,Measurement!$J:$J)=0,D57*O57,J57*O57)</f>
        <v/>
      </c>
      <c r="R57">
        <f>P57+Q57</f>
        <v/>
      </c>
      <c r="S57">
        <f>IF(IFERROR(VLOOKUP(B57,Environments!$A$5:$K$50,3,FALSE),FALSE),R57*$B$2,0)</f>
        <v/>
      </c>
      <c r="T57">
        <f>R57+S57</f>
        <v/>
      </c>
      <c r="U57">
        <f>T57*12</f>
        <v/>
      </c>
    </row>
    <row r="58">
      <c r="A58">
        <f>Measurement!A56</f>
        <v/>
      </c>
      <c r="B58">
        <f>Measurement!B56</f>
        <v/>
      </c>
      <c r="C58">
        <f>Measurement!G56</f>
        <v/>
      </c>
      <c r="D58">
        <f>IF(SUMIF(Measurement!$B:$B,B58,Measurement!$G:$G)=0,0,C58/SUMIF(Measurement!$B:$B,B58,Measurement!$G:$G))</f>
        <v/>
      </c>
      <c r="E58">
        <f>Measurement!H56</f>
        <v/>
      </c>
      <c r="F58">
        <f>IF(SUMIF(Measurement!$B:$B,B58,Measurement!$H:$H)=0,0,E58/SUMIF(Measurement!$B:$B,B58,Measurement!$H:$H))</f>
        <v/>
      </c>
      <c r="G58">
        <f>Measurement!I56</f>
        <v/>
      </c>
      <c r="H58">
        <f>IF(SUMIF(Measurement!$B:$B,B58,Measurement!$I:$I)=0,0,G58/SUMIF(Measurement!$B:$B,B58,Measurement!$I:$I))</f>
        <v/>
      </c>
      <c r="I58">
        <f>Measurement!J56</f>
        <v/>
      </c>
      <c r="J58">
        <f>IF(SUMIF(Measurement!$B:$B,B58,Measurement!$J:$J)=0,0,I58/SUMIF(Measurement!$B:$B,B58,Measurement!$J:$J))</f>
        <v/>
      </c>
      <c r="K58">
        <f>IFERROR(VLOOKUP(B58,Environments!$A$5:$K$50,4,FALSE),0)</f>
        <v/>
      </c>
      <c r="L58">
        <f>IFERROR(VLOOKUP(B58,Environments!$A$5:$K$50,5,FALSE),0)</f>
        <v/>
      </c>
      <c r="M58">
        <f>IFERROR(VLOOKUP(B58,Environments!$A$5:$K$50,6,FALSE),0)</f>
        <v/>
      </c>
      <c r="N58">
        <f>IFERROR(VLOOKUP(B58,Environments!$A$5:$K$50,7,FALSE),0)</f>
        <v/>
      </c>
      <c r="O58">
        <f>IFERROR(VLOOKUP(B58,Environments!$A$5:$K$50,11,FALSE),0)</f>
        <v/>
      </c>
      <c r="P58">
        <f>(D58*K58+F58*L58+H58*M58+J58*N58)*Global!$B$5</f>
        <v/>
      </c>
      <c r="Q58">
        <f>IF(SUMIF(Measurement!$B:$B,B58,Measurement!$J:$J)=0,D58*O58,J58*O58)</f>
        <v/>
      </c>
      <c r="R58">
        <f>P58+Q58</f>
        <v/>
      </c>
      <c r="S58">
        <f>IF(IFERROR(VLOOKUP(B58,Environments!$A$5:$K$50,3,FALSE),FALSE),R58*$B$2,0)</f>
        <v/>
      </c>
      <c r="T58">
        <f>R58+S58</f>
        <v/>
      </c>
      <c r="U58">
        <f>T58*12</f>
        <v/>
      </c>
    </row>
    <row r="59">
      <c r="A59">
        <f>Measurement!A57</f>
        <v/>
      </c>
      <c r="B59">
        <f>Measurement!B57</f>
        <v/>
      </c>
      <c r="C59">
        <f>Measurement!G57</f>
        <v/>
      </c>
      <c r="D59">
        <f>IF(SUMIF(Measurement!$B:$B,B59,Measurement!$G:$G)=0,0,C59/SUMIF(Measurement!$B:$B,B59,Measurement!$G:$G))</f>
        <v/>
      </c>
      <c r="E59">
        <f>Measurement!H57</f>
        <v/>
      </c>
      <c r="F59">
        <f>IF(SUMIF(Measurement!$B:$B,B59,Measurement!$H:$H)=0,0,E59/SUMIF(Measurement!$B:$B,B59,Measurement!$H:$H))</f>
        <v/>
      </c>
      <c r="G59">
        <f>Measurement!I57</f>
        <v/>
      </c>
      <c r="H59">
        <f>IF(SUMIF(Measurement!$B:$B,B59,Measurement!$I:$I)=0,0,G59/SUMIF(Measurement!$B:$B,B59,Measurement!$I:$I))</f>
        <v/>
      </c>
      <c r="I59">
        <f>Measurement!J57</f>
        <v/>
      </c>
      <c r="J59">
        <f>IF(SUMIF(Measurement!$B:$B,B59,Measurement!$J:$J)=0,0,I59/SUMIF(Measurement!$B:$B,B59,Measurement!$J:$J))</f>
        <v/>
      </c>
      <c r="K59">
        <f>IFERROR(VLOOKUP(B59,Environments!$A$5:$K$50,4,FALSE),0)</f>
        <v/>
      </c>
      <c r="L59">
        <f>IFERROR(VLOOKUP(B59,Environments!$A$5:$K$50,5,FALSE),0)</f>
        <v/>
      </c>
      <c r="M59">
        <f>IFERROR(VLOOKUP(B59,Environments!$A$5:$K$50,6,FALSE),0)</f>
        <v/>
      </c>
      <c r="N59">
        <f>IFERROR(VLOOKUP(B59,Environments!$A$5:$K$50,7,FALSE),0)</f>
        <v/>
      </c>
      <c r="O59">
        <f>IFERROR(VLOOKUP(B59,Environments!$A$5:$K$50,11,FALSE),0)</f>
        <v/>
      </c>
      <c r="P59">
        <f>(D59*K59+F59*L59+H59*M59+J59*N59)*Global!$B$5</f>
        <v/>
      </c>
      <c r="Q59">
        <f>IF(SUMIF(Measurement!$B:$B,B59,Measurement!$J:$J)=0,D59*O59,J59*O59)</f>
        <v/>
      </c>
      <c r="R59">
        <f>P59+Q59</f>
        <v/>
      </c>
      <c r="S59">
        <f>IF(IFERROR(VLOOKUP(B59,Environments!$A$5:$K$50,3,FALSE),FALSE),R59*$B$2,0)</f>
        <v/>
      </c>
      <c r="T59">
        <f>R59+S59</f>
        <v/>
      </c>
      <c r="U59">
        <f>T59*12</f>
        <v/>
      </c>
    </row>
    <row r="60">
      <c r="A60">
        <f>Measurement!A58</f>
        <v/>
      </c>
      <c r="B60">
        <f>Measurement!B58</f>
        <v/>
      </c>
      <c r="C60">
        <f>Measurement!G58</f>
        <v/>
      </c>
      <c r="D60">
        <f>IF(SUMIF(Measurement!$B:$B,B60,Measurement!$G:$G)=0,0,C60/SUMIF(Measurement!$B:$B,B60,Measurement!$G:$G))</f>
        <v/>
      </c>
      <c r="E60">
        <f>Measurement!H58</f>
        <v/>
      </c>
      <c r="F60">
        <f>IF(SUMIF(Measurement!$B:$B,B60,Measurement!$H:$H)=0,0,E60/SUMIF(Measurement!$B:$B,B60,Measurement!$H:$H))</f>
        <v/>
      </c>
      <c r="G60">
        <f>Measurement!I58</f>
        <v/>
      </c>
      <c r="H60">
        <f>IF(SUMIF(Measurement!$B:$B,B60,Measurement!$I:$I)=0,0,G60/SUMIF(Measurement!$B:$B,B60,Measurement!$I:$I))</f>
        <v/>
      </c>
      <c r="I60">
        <f>Measurement!J58</f>
        <v/>
      </c>
      <c r="J60">
        <f>IF(SUMIF(Measurement!$B:$B,B60,Measurement!$J:$J)=0,0,I60/SUMIF(Measurement!$B:$B,B60,Measurement!$J:$J))</f>
        <v/>
      </c>
      <c r="K60">
        <f>IFERROR(VLOOKUP(B60,Environments!$A$5:$K$50,4,FALSE),0)</f>
        <v/>
      </c>
      <c r="L60">
        <f>IFERROR(VLOOKUP(B60,Environments!$A$5:$K$50,5,FALSE),0)</f>
        <v/>
      </c>
      <c r="M60">
        <f>IFERROR(VLOOKUP(B60,Environments!$A$5:$K$50,6,FALSE),0)</f>
        <v/>
      </c>
      <c r="N60">
        <f>IFERROR(VLOOKUP(B60,Environments!$A$5:$K$50,7,FALSE),0)</f>
        <v/>
      </c>
      <c r="O60">
        <f>IFERROR(VLOOKUP(B60,Environments!$A$5:$K$50,11,FALSE),0)</f>
        <v/>
      </c>
      <c r="P60">
        <f>(D60*K60+F60*L60+H60*M60+J60*N60)*Global!$B$5</f>
        <v/>
      </c>
      <c r="Q60">
        <f>IF(SUMIF(Measurement!$B:$B,B60,Measurement!$J:$J)=0,D60*O60,J60*O60)</f>
        <v/>
      </c>
      <c r="R60">
        <f>P60+Q60</f>
        <v/>
      </c>
      <c r="S60">
        <f>IF(IFERROR(VLOOKUP(B60,Environments!$A$5:$K$50,3,FALSE),FALSE),R60*$B$2,0)</f>
        <v/>
      </c>
      <c r="T60">
        <f>R60+S60</f>
        <v/>
      </c>
      <c r="U60">
        <f>T60*12</f>
        <v/>
      </c>
    </row>
    <row r="61">
      <c r="A61">
        <f>Measurement!A59</f>
        <v/>
      </c>
      <c r="B61">
        <f>Measurement!B59</f>
        <v/>
      </c>
      <c r="C61">
        <f>Measurement!G59</f>
        <v/>
      </c>
      <c r="D61">
        <f>IF(SUMIF(Measurement!$B:$B,B61,Measurement!$G:$G)=0,0,C61/SUMIF(Measurement!$B:$B,B61,Measurement!$G:$G))</f>
        <v/>
      </c>
      <c r="E61">
        <f>Measurement!H59</f>
        <v/>
      </c>
      <c r="F61">
        <f>IF(SUMIF(Measurement!$B:$B,B61,Measurement!$H:$H)=0,0,E61/SUMIF(Measurement!$B:$B,B61,Measurement!$H:$H))</f>
        <v/>
      </c>
      <c r="G61">
        <f>Measurement!I59</f>
        <v/>
      </c>
      <c r="H61">
        <f>IF(SUMIF(Measurement!$B:$B,B61,Measurement!$I:$I)=0,0,G61/SUMIF(Measurement!$B:$B,B61,Measurement!$I:$I))</f>
        <v/>
      </c>
      <c r="I61">
        <f>Measurement!J59</f>
        <v/>
      </c>
      <c r="J61">
        <f>IF(SUMIF(Measurement!$B:$B,B61,Measurement!$J:$J)=0,0,I61/SUMIF(Measurement!$B:$B,B61,Measurement!$J:$J))</f>
        <v/>
      </c>
      <c r="K61">
        <f>IFERROR(VLOOKUP(B61,Environments!$A$5:$K$50,4,FALSE),0)</f>
        <v/>
      </c>
      <c r="L61">
        <f>IFERROR(VLOOKUP(B61,Environments!$A$5:$K$50,5,FALSE),0)</f>
        <v/>
      </c>
      <c r="M61">
        <f>IFERROR(VLOOKUP(B61,Environments!$A$5:$K$50,6,FALSE),0)</f>
        <v/>
      </c>
      <c r="N61">
        <f>IFERROR(VLOOKUP(B61,Environments!$A$5:$K$50,7,FALSE),0)</f>
        <v/>
      </c>
      <c r="O61">
        <f>IFERROR(VLOOKUP(B61,Environments!$A$5:$K$50,11,FALSE),0)</f>
        <v/>
      </c>
      <c r="P61">
        <f>(D61*K61+F61*L61+H61*M61+J61*N61)*Global!$B$5</f>
        <v/>
      </c>
      <c r="Q61">
        <f>IF(SUMIF(Measurement!$B:$B,B61,Measurement!$J:$J)=0,D61*O61,J61*O61)</f>
        <v/>
      </c>
      <c r="R61">
        <f>P61+Q61</f>
        <v/>
      </c>
      <c r="S61">
        <f>IF(IFERROR(VLOOKUP(B61,Environments!$A$5:$K$50,3,FALSE),FALSE),R61*$B$2,0)</f>
        <v/>
      </c>
      <c r="T61">
        <f>R61+S61</f>
        <v/>
      </c>
      <c r="U61">
        <f>T61*12</f>
        <v/>
      </c>
    </row>
    <row r="62">
      <c r="A62">
        <f>Measurement!A60</f>
        <v/>
      </c>
      <c r="B62">
        <f>Measurement!B60</f>
        <v/>
      </c>
      <c r="C62">
        <f>Measurement!G60</f>
        <v/>
      </c>
      <c r="D62">
        <f>IF(SUMIF(Measurement!$B:$B,B62,Measurement!$G:$G)=0,0,C62/SUMIF(Measurement!$B:$B,B62,Measurement!$G:$G))</f>
        <v/>
      </c>
      <c r="E62">
        <f>Measurement!H60</f>
        <v/>
      </c>
      <c r="F62">
        <f>IF(SUMIF(Measurement!$B:$B,B62,Measurement!$H:$H)=0,0,E62/SUMIF(Measurement!$B:$B,B62,Measurement!$H:$H))</f>
        <v/>
      </c>
      <c r="G62">
        <f>Measurement!I60</f>
        <v/>
      </c>
      <c r="H62">
        <f>IF(SUMIF(Measurement!$B:$B,B62,Measurement!$I:$I)=0,0,G62/SUMIF(Measurement!$B:$B,B62,Measurement!$I:$I))</f>
        <v/>
      </c>
      <c r="I62">
        <f>Measurement!J60</f>
        <v/>
      </c>
      <c r="J62">
        <f>IF(SUMIF(Measurement!$B:$B,B62,Measurement!$J:$J)=0,0,I62/SUMIF(Measurement!$B:$B,B62,Measurement!$J:$J))</f>
        <v/>
      </c>
      <c r="K62">
        <f>IFERROR(VLOOKUP(B62,Environments!$A$5:$K$50,4,FALSE),0)</f>
        <v/>
      </c>
      <c r="L62">
        <f>IFERROR(VLOOKUP(B62,Environments!$A$5:$K$50,5,FALSE),0)</f>
        <v/>
      </c>
      <c r="M62">
        <f>IFERROR(VLOOKUP(B62,Environments!$A$5:$K$50,6,FALSE),0)</f>
        <v/>
      </c>
      <c r="N62">
        <f>IFERROR(VLOOKUP(B62,Environments!$A$5:$K$50,7,FALSE),0)</f>
        <v/>
      </c>
      <c r="O62">
        <f>IFERROR(VLOOKUP(B62,Environments!$A$5:$K$50,11,FALSE),0)</f>
        <v/>
      </c>
      <c r="P62">
        <f>(D62*K62+F62*L62+H62*M62+J62*N62)*Global!$B$5</f>
        <v/>
      </c>
      <c r="Q62">
        <f>IF(SUMIF(Measurement!$B:$B,B62,Measurement!$J:$J)=0,D62*O62,J62*O62)</f>
        <v/>
      </c>
      <c r="R62">
        <f>P62+Q62</f>
        <v/>
      </c>
      <c r="S62">
        <f>IF(IFERROR(VLOOKUP(B62,Environments!$A$5:$K$50,3,FALSE),FALSE),R62*$B$2,0)</f>
        <v/>
      </c>
      <c r="T62">
        <f>R62+S62</f>
        <v/>
      </c>
      <c r="U62">
        <f>T62*12</f>
        <v/>
      </c>
    </row>
    <row r="63">
      <c r="A63">
        <f>Measurement!A61</f>
        <v/>
      </c>
      <c r="B63">
        <f>Measurement!B61</f>
        <v/>
      </c>
      <c r="C63">
        <f>Measurement!G61</f>
        <v/>
      </c>
      <c r="D63">
        <f>IF(SUMIF(Measurement!$B:$B,B63,Measurement!$G:$G)=0,0,C63/SUMIF(Measurement!$B:$B,B63,Measurement!$G:$G))</f>
        <v/>
      </c>
      <c r="E63">
        <f>Measurement!H61</f>
        <v/>
      </c>
      <c r="F63">
        <f>IF(SUMIF(Measurement!$B:$B,B63,Measurement!$H:$H)=0,0,E63/SUMIF(Measurement!$B:$B,B63,Measurement!$H:$H))</f>
        <v/>
      </c>
      <c r="G63">
        <f>Measurement!I61</f>
        <v/>
      </c>
      <c r="H63">
        <f>IF(SUMIF(Measurement!$B:$B,B63,Measurement!$I:$I)=0,0,G63/SUMIF(Measurement!$B:$B,B63,Measurement!$I:$I))</f>
        <v/>
      </c>
      <c r="I63">
        <f>Measurement!J61</f>
        <v/>
      </c>
      <c r="J63">
        <f>IF(SUMIF(Measurement!$B:$B,B63,Measurement!$J:$J)=0,0,I63/SUMIF(Measurement!$B:$B,B63,Measurement!$J:$J))</f>
        <v/>
      </c>
      <c r="K63">
        <f>IFERROR(VLOOKUP(B63,Environments!$A$5:$K$50,4,FALSE),0)</f>
        <v/>
      </c>
      <c r="L63">
        <f>IFERROR(VLOOKUP(B63,Environments!$A$5:$K$50,5,FALSE),0)</f>
        <v/>
      </c>
      <c r="M63">
        <f>IFERROR(VLOOKUP(B63,Environments!$A$5:$K$50,6,FALSE),0)</f>
        <v/>
      </c>
      <c r="N63">
        <f>IFERROR(VLOOKUP(B63,Environments!$A$5:$K$50,7,FALSE),0)</f>
        <v/>
      </c>
      <c r="O63">
        <f>IFERROR(VLOOKUP(B63,Environments!$A$5:$K$50,11,FALSE),0)</f>
        <v/>
      </c>
      <c r="P63">
        <f>(D63*K63+F63*L63+H63*M63+J63*N63)*Global!$B$5</f>
        <v/>
      </c>
      <c r="Q63">
        <f>IF(SUMIF(Measurement!$B:$B,B63,Measurement!$J:$J)=0,D63*O63,J63*O63)</f>
        <v/>
      </c>
      <c r="R63">
        <f>P63+Q63</f>
        <v/>
      </c>
      <c r="S63">
        <f>IF(IFERROR(VLOOKUP(B63,Environments!$A$5:$K$50,3,FALSE),FALSE),R63*$B$2,0)</f>
        <v/>
      </c>
      <c r="T63">
        <f>R63+S63</f>
        <v/>
      </c>
      <c r="U63">
        <f>T63*12</f>
        <v/>
      </c>
    </row>
    <row r="64">
      <c r="A64">
        <f>Measurement!A62</f>
        <v/>
      </c>
      <c r="B64">
        <f>Measurement!B62</f>
        <v/>
      </c>
      <c r="C64">
        <f>Measurement!G62</f>
        <v/>
      </c>
      <c r="D64">
        <f>IF(SUMIF(Measurement!$B:$B,B64,Measurement!$G:$G)=0,0,C64/SUMIF(Measurement!$B:$B,B64,Measurement!$G:$G))</f>
        <v/>
      </c>
      <c r="E64">
        <f>Measurement!H62</f>
        <v/>
      </c>
      <c r="F64">
        <f>IF(SUMIF(Measurement!$B:$B,B64,Measurement!$H:$H)=0,0,E64/SUMIF(Measurement!$B:$B,B64,Measurement!$H:$H))</f>
        <v/>
      </c>
      <c r="G64">
        <f>Measurement!I62</f>
        <v/>
      </c>
      <c r="H64">
        <f>IF(SUMIF(Measurement!$B:$B,B64,Measurement!$I:$I)=0,0,G64/SUMIF(Measurement!$B:$B,B64,Measurement!$I:$I))</f>
        <v/>
      </c>
      <c r="I64">
        <f>Measurement!J62</f>
        <v/>
      </c>
      <c r="J64">
        <f>IF(SUMIF(Measurement!$B:$B,B64,Measurement!$J:$J)=0,0,I64/SUMIF(Measurement!$B:$B,B64,Measurement!$J:$J))</f>
        <v/>
      </c>
      <c r="K64">
        <f>IFERROR(VLOOKUP(B64,Environments!$A$5:$K$50,4,FALSE),0)</f>
        <v/>
      </c>
      <c r="L64">
        <f>IFERROR(VLOOKUP(B64,Environments!$A$5:$K$50,5,FALSE),0)</f>
        <v/>
      </c>
      <c r="M64">
        <f>IFERROR(VLOOKUP(B64,Environments!$A$5:$K$50,6,FALSE),0)</f>
        <v/>
      </c>
      <c r="N64">
        <f>IFERROR(VLOOKUP(B64,Environments!$A$5:$K$50,7,FALSE),0)</f>
        <v/>
      </c>
      <c r="O64">
        <f>IFERROR(VLOOKUP(B64,Environments!$A$5:$K$50,11,FALSE),0)</f>
        <v/>
      </c>
      <c r="P64">
        <f>(D64*K64+F64*L64+H64*M64+J64*N64)*Global!$B$5</f>
        <v/>
      </c>
      <c r="Q64">
        <f>IF(SUMIF(Measurement!$B:$B,B64,Measurement!$J:$J)=0,D64*O64,J64*O64)</f>
        <v/>
      </c>
      <c r="R64">
        <f>P64+Q64</f>
        <v/>
      </c>
      <c r="S64">
        <f>IF(IFERROR(VLOOKUP(B64,Environments!$A$5:$K$50,3,FALSE),FALSE),R64*$B$2,0)</f>
        <v/>
      </c>
      <c r="T64">
        <f>R64+S64</f>
        <v/>
      </c>
      <c r="U64">
        <f>T64*12</f>
        <v/>
      </c>
    </row>
    <row r="65">
      <c r="A65">
        <f>Measurement!A63</f>
        <v/>
      </c>
      <c r="B65">
        <f>Measurement!B63</f>
        <v/>
      </c>
      <c r="C65">
        <f>Measurement!G63</f>
        <v/>
      </c>
      <c r="D65">
        <f>IF(SUMIF(Measurement!$B:$B,B65,Measurement!$G:$G)=0,0,C65/SUMIF(Measurement!$B:$B,B65,Measurement!$G:$G))</f>
        <v/>
      </c>
      <c r="E65">
        <f>Measurement!H63</f>
        <v/>
      </c>
      <c r="F65">
        <f>IF(SUMIF(Measurement!$B:$B,B65,Measurement!$H:$H)=0,0,E65/SUMIF(Measurement!$B:$B,B65,Measurement!$H:$H))</f>
        <v/>
      </c>
      <c r="G65">
        <f>Measurement!I63</f>
        <v/>
      </c>
      <c r="H65">
        <f>IF(SUMIF(Measurement!$B:$B,B65,Measurement!$I:$I)=0,0,G65/SUMIF(Measurement!$B:$B,B65,Measurement!$I:$I))</f>
        <v/>
      </c>
      <c r="I65">
        <f>Measurement!J63</f>
        <v/>
      </c>
      <c r="J65">
        <f>IF(SUMIF(Measurement!$B:$B,B65,Measurement!$J:$J)=0,0,I65/SUMIF(Measurement!$B:$B,B65,Measurement!$J:$J))</f>
        <v/>
      </c>
      <c r="K65">
        <f>IFERROR(VLOOKUP(B65,Environments!$A$5:$K$50,4,FALSE),0)</f>
        <v/>
      </c>
      <c r="L65">
        <f>IFERROR(VLOOKUP(B65,Environments!$A$5:$K$50,5,FALSE),0)</f>
        <v/>
      </c>
      <c r="M65">
        <f>IFERROR(VLOOKUP(B65,Environments!$A$5:$K$50,6,FALSE),0)</f>
        <v/>
      </c>
      <c r="N65">
        <f>IFERROR(VLOOKUP(B65,Environments!$A$5:$K$50,7,FALSE),0)</f>
        <v/>
      </c>
      <c r="O65">
        <f>IFERROR(VLOOKUP(B65,Environments!$A$5:$K$50,11,FALSE),0)</f>
        <v/>
      </c>
      <c r="P65">
        <f>(D65*K65+F65*L65+H65*M65+J65*N65)*Global!$B$5</f>
        <v/>
      </c>
      <c r="Q65">
        <f>IF(SUMIF(Measurement!$B:$B,B65,Measurement!$J:$J)=0,D65*O65,J65*O65)</f>
        <v/>
      </c>
      <c r="R65">
        <f>P65+Q65</f>
        <v/>
      </c>
      <c r="S65">
        <f>IF(IFERROR(VLOOKUP(B65,Environments!$A$5:$K$50,3,FALSE),FALSE),R65*$B$2,0)</f>
        <v/>
      </c>
      <c r="T65">
        <f>R65+S65</f>
        <v/>
      </c>
      <c r="U65">
        <f>T65*12</f>
        <v/>
      </c>
    </row>
    <row r="66">
      <c r="A66">
        <f>Measurement!A64</f>
        <v/>
      </c>
      <c r="B66">
        <f>Measurement!B64</f>
        <v/>
      </c>
      <c r="C66">
        <f>Measurement!G64</f>
        <v/>
      </c>
      <c r="D66">
        <f>IF(SUMIF(Measurement!$B:$B,B66,Measurement!$G:$G)=0,0,C66/SUMIF(Measurement!$B:$B,B66,Measurement!$G:$G))</f>
        <v/>
      </c>
      <c r="E66">
        <f>Measurement!H64</f>
        <v/>
      </c>
      <c r="F66">
        <f>IF(SUMIF(Measurement!$B:$B,B66,Measurement!$H:$H)=0,0,E66/SUMIF(Measurement!$B:$B,B66,Measurement!$H:$H))</f>
        <v/>
      </c>
      <c r="G66">
        <f>Measurement!I64</f>
        <v/>
      </c>
      <c r="H66">
        <f>IF(SUMIF(Measurement!$B:$B,B66,Measurement!$I:$I)=0,0,G66/SUMIF(Measurement!$B:$B,B66,Measurement!$I:$I))</f>
        <v/>
      </c>
      <c r="I66">
        <f>Measurement!J64</f>
        <v/>
      </c>
      <c r="J66">
        <f>IF(SUMIF(Measurement!$B:$B,B66,Measurement!$J:$J)=0,0,I66/SUMIF(Measurement!$B:$B,B66,Measurement!$J:$J))</f>
        <v/>
      </c>
      <c r="K66">
        <f>IFERROR(VLOOKUP(B66,Environments!$A$5:$K$50,4,FALSE),0)</f>
        <v/>
      </c>
      <c r="L66">
        <f>IFERROR(VLOOKUP(B66,Environments!$A$5:$K$50,5,FALSE),0)</f>
        <v/>
      </c>
      <c r="M66">
        <f>IFERROR(VLOOKUP(B66,Environments!$A$5:$K$50,6,FALSE),0)</f>
        <v/>
      </c>
      <c r="N66">
        <f>IFERROR(VLOOKUP(B66,Environments!$A$5:$K$50,7,FALSE),0)</f>
        <v/>
      </c>
      <c r="O66">
        <f>IFERROR(VLOOKUP(B66,Environments!$A$5:$K$50,11,FALSE),0)</f>
        <v/>
      </c>
      <c r="P66">
        <f>(D66*K66+F66*L66+H66*M66+J66*N66)*Global!$B$5</f>
        <v/>
      </c>
      <c r="Q66">
        <f>IF(SUMIF(Measurement!$B:$B,B66,Measurement!$J:$J)=0,D66*O66,J66*O66)</f>
        <v/>
      </c>
      <c r="R66">
        <f>P66+Q66</f>
        <v/>
      </c>
      <c r="S66">
        <f>IF(IFERROR(VLOOKUP(B66,Environments!$A$5:$K$50,3,FALSE),FALSE),R66*$B$2,0)</f>
        <v/>
      </c>
      <c r="T66">
        <f>R66+S66</f>
        <v/>
      </c>
      <c r="U66">
        <f>T66*12</f>
        <v/>
      </c>
    </row>
    <row r="67">
      <c r="A67">
        <f>Measurement!A65</f>
        <v/>
      </c>
      <c r="B67">
        <f>Measurement!B65</f>
        <v/>
      </c>
      <c r="C67">
        <f>Measurement!G65</f>
        <v/>
      </c>
      <c r="D67">
        <f>IF(SUMIF(Measurement!$B:$B,B67,Measurement!$G:$G)=0,0,C67/SUMIF(Measurement!$B:$B,B67,Measurement!$G:$G))</f>
        <v/>
      </c>
      <c r="E67">
        <f>Measurement!H65</f>
        <v/>
      </c>
      <c r="F67">
        <f>IF(SUMIF(Measurement!$B:$B,B67,Measurement!$H:$H)=0,0,E67/SUMIF(Measurement!$B:$B,B67,Measurement!$H:$H))</f>
        <v/>
      </c>
      <c r="G67">
        <f>Measurement!I65</f>
        <v/>
      </c>
      <c r="H67">
        <f>IF(SUMIF(Measurement!$B:$B,B67,Measurement!$I:$I)=0,0,G67/SUMIF(Measurement!$B:$B,B67,Measurement!$I:$I))</f>
        <v/>
      </c>
      <c r="I67">
        <f>Measurement!J65</f>
        <v/>
      </c>
      <c r="J67">
        <f>IF(SUMIF(Measurement!$B:$B,B67,Measurement!$J:$J)=0,0,I67/SUMIF(Measurement!$B:$B,B67,Measurement!$J:$J))</f>
        <v/>
      </c>
      <c r="K67">
        <f>IFERROR(VLOOKUP(B67,Environments!$A$5:$K$50,4,FALSE),0)</f>
        <v/>
      </c>
      <c r="L67">
        <f>IFERROR(VLOOKUP(B67,Environments!$A$5:$K$50,5,FALSE),0)</f>
        <v/>
      </c>
      <c r="M67">
        <f>IFERROR(VLOOKUP(B67,Environments!$A$5:$K$50,6,FALSE),0)</f>
        <v/>
      </c>
      <c r="N67">
        <f>IFERROR(VLOOKUP(B67,Environments!$A$5:$K$50,7,FALSE),0)</f>
        <v/>
      </c>
      <c r="O67">
        <f>IFERROR(VLOOKUP(B67,Environments!$A$5:$K$50,11,FALSE),0)</f>
        <v/>
      </c>
      <c r="P67">
        <f>(D67*K67+F67*L67+H67*M67+J67*N67)*Global!$B$5</f>
        <v/>
      </c>
      <c r="Q67">
        <f>IF(SUMIF(Measurement!$B:$B,B67,Measurement!$J:$J)=0,D67*O67,J67*O67)</f>
        <v/>
      </c>
      <c r="R67">
        <f>P67+Q67</f>
        <v/>
      </c>
      <c r="S67">
        <f>IF(IFERROR(VLOOKUP(B67,Environments!$A$5:$K$50,3,FALSE),FALSE),R67*$B$2,0)</f>
        <v/>
      </c>
      <c r="T67">
        <f>R67+S67</f>
        <v/>
      </c>
      <c r="U67">
        <f>T67*12</f>
        <v/>
      </c>
    </row>
    <row r="68">
      <c r="A68">
        <f>Measurement!A66</f>
        <v/>
      </c>
      <c r="B68">
        <f>Measurement!B66</f>
        <v/>
      </c>
      <c r="C68">
        <f>Measurement!G66</f>
        <v/>
      </c>
      <c r="D68">
        <f>IF(SUMIF(Measurement!$B:$B,B68,Measurement!$G:$G)=0,0,C68/SUMIF(Measurement!$B:$B,B68,Measurement!$G:$G))</f>
        <v/>
      </c>
      <c r="E68">
        <f>Measurement!H66</f>
        <v/>
      </c>
      <c r="F68">
        <f>IF(SUMIF(Measurement!$B:$B,B68,Measurement!$H:$H)=0,0,E68/SUMIF(Measurement!$B:$B,B68,Measurement!$H:$H))</f>
        <v/>
      </c>
      <c r="G68">
        <f>Measurement!I66</f>
        <v/>
      </c>
      <c r="H68">
        <f>IF(SUMIF(Measurement!$B:$B,B68,Measurement!$I:$I)=0,0,G68/SUMIF(Measurement!$B:$B,B68,Measurement!$I:$I))</f>
        <v/>
      </c>
      <c r="I68">
        <f>Measurement!J66</f>
        <v/>
      </c>
      <c r="J68">
        <f>IF(SUMIF(Measurement!$B:$B,B68,Measurement!$J:$J)=0,0,I68/SUMIF(Measurement!$B:$B,B68,Measurement!$J:$J))</f>
        <v/>
      </c>
      <c r="K68">
        <f>IFERROR(VLOOKUP(B68,Environments!$A$5:$K$50,4,FALSE),0)</f>
        <v/>
      </c>
      <c r="L68">
        <f>IFERROR(VLOOKUP(B68,Environments!$A$5:$K$50,5,FALSE),0)</f>
        <v/>
      </c>
      <c r="M68">
        <f>IFERROR(VLOOKUP(B68,Environments!$A$5:$K$50,6,FALSE),0)</f>
        <v/>
      </c>
      <c r="N68">
        <f>IFERROR(VLOOKUP(B68,Environments!$A$5:$K$50,7,FALSE),0)</f>
        <v/>
      </c>
      <c r="O68">
        <f>IFERROR(VLOOKUP(B68,Environments!$A$5:$K$50,11,FALSE),0)</f>
        <v/>
      </c>
      <c r="P68">
        <f>(D68*K68+F68*L68+H68*M68+J68*N68)*Global!$B$5</f>
        <v/>
      </c>
      <c r="Q68">
        <f>IF(SUMIF(Measurement!$B:$B,B68,Measurement!$J:$J)=0,D68*O68,J68*O68)</f>
        <v/>
      </c>
      <c r="R68">
        <f>P68+Q68</f>
        <v/>
      </c>
      <c r="S68">
        <f>IF(IFERROR(VLOOKUP(B68,Environments!$A$5:$K$50,3,FALSE),FALSE),R68*$B$2,0)</f>
        <v/>
      </c>
      <c r="T68">
        <f>R68+S68</f>
        <v/>
      </c>
      <c r="U68">
        <f>T68*12</f>
        <v/>
      </c>
    </row>
    <row r="69">
      <c r="A69">
        <f>Measurement!A67</f>
        <v/>
      </c>
      <c r="B69">
        <f>Measurement!B67</f>
        <v/>
      </c>
      <c r="C69">
        <f>Measurement!G67</f>
        <v/>
      </c>
      <c r="D69">
        <f>IF(SUMIF(Measurement!$B:$B,B69,Measurement!$G:$G)=0,0,C69/SUMIF(Measurement!$B:$B,B69,Measurement!$G:$G))</f>
        <v/>
      </c>
      <c r="E69">
        <f>Measurement!H67</f>
        <v/>
      </c>
      <c r="F69">
        <f>IF(SUMIF(Measurement!$B:$B,B69,Measurement!$H:$H)=0,0,E69/SUMIF(Measurement!$B:$B,B69,Measurement!$H:$H))</f>
        <v/>
      </c>
      <c r="G69">
        <f>Measurement!I67</f>
        <v/>
      </c>
      <c r="H69">
        <f>IF(SUMIF(Measurement!$B:$B,B69,Measurement!$I:$I)=0,0,G69/SUMIF(Measurement!$B:$B,B69,Measurement!$I:$I))</f>
        <v/>
      </c>
      <c r="I69">
        <f>Measurement!J67</f>
        <v/>
      </c>
      <c r="J69">
        <f>IF(SUMIF(Measurement!$B:$B,B69,Measurement!$J:$J)=0,0,I69/SUMIF(Measurement!$B:$B,B69,Measurement!$J:$J))</f>
        <v/>
      </c>
      <c r="K69">
        <f>IFERROR(VLOOKUP(B69,Environments!$A$5:$K$50,4,FALSE),0)</f>
        <v/>
      </c>
      <c r="L69">
        <f>IFERROR(VLOOKUP(B69,Environments!$A$5:$K$50,5,FALSE),0)</f>
        <v/>
      </c>
      <c r="M69">
        <f>IFERROR(VLOOKUP(B69,Environments!$A$5:$K$50,6,FALSE),0)</f>
        <v/>
      </c>
      <c r="N69">
        <f>IFERROR(VLOOKUP(B69,Environments!$A$5:$K$50,7,FALSE),0)</f>
        <v/>
      </c>
      <c r="O69">
        <f>IFERROR(VLOOKUP(B69,Environments!$A$5:$K$50,11,FALSE),0)</f>
        <v/>
      </c>
      <c r="P69">
        <f>(D69*K69+F69*L69+H69*M69+J69*N69)*Global!$B$5</f>
        <v/>
      </c>
      <c r="Q69">
        <f>IF(SUMIF(Measurement!$B:$B,B69,Measurement!$J:$J)=0,D69*O69,J69*O69)</f>
        <v/>
      </c>
      <c r="R69">
        <f>P69+Q69</f>
        <v/>
      </c>
      <c r="S69">
        <f>IF(IFERROR(VLOOKUP(B69,Environments!$A$5:$K$50,3,FALSE),FALSE),R69*$B$2,0)</f>
        <v/>
      </c>
      <c r="T69">
        <f>R69+S69</f>
        <v/>
      </c>
      <c r="U69">
        <f>T69*12</f>
        <v/>
      </c>
    </row>
    <row r="70">
      <c r="A70">
        <f>Measurement!A68</f>
        <v/>
      </c>
      <c r="B70">
        <f>Measurement!B68</f>
        <v/>
      </c>
      <c r="C70">
        <f>Measurement!G68</f>
        <v/>
      </c>
      <c r="D70">
        <f>IF(SUMIF(Measurement!$B:$B,B70,Measurement!$G:$G)=0,0,C70/SUMIF(Measurement!$B:$B,B70,Measurement!$G:$G))</f>
        <v/>
      </c>
      <c r="E70">
        <f>Measurement!H68</f>
        <v/>
      </c>
      <c r="F70">
        <f>IF(SUMIF(Measurement!$B:$B,B70,Measurement!$H:$H)=0,0,E70/SUMIF(Measurement!$B:$B,B70,Measurement!$H:$H))</f>
        <v/>
      </c>
      <c r="G70">
        <f>Measurement!I68</f>
        <v/>
      </c>
      <c r="H70">
        <f>IF(SUMIF(Measurement!$B:$B,B70,Measurement!$I:$I)=0,0,G70/SUMIF(Measurement!$B:$B,B70,Measurement!$I:$I))</f>
        <v/>
      </c>
      <c r="I70">
        <f>Measurement!J68</f>
        <v/>
      </c>
      <c r="J70">
        <f>IF(SUMIF(Measurement!$B:$B,B70,Measurement!$J:$J)=0,0,I70/SUMIF(Measurement!$B:$B,B70,Measurement!$J:$J))</f>
        <v/>
      </c>
      <c r="K70">
        <f>IFERROR(VLOOKUP(B70,Environments!$A$5:$K$50,4,FALSE),0)</f>
        <v/>
      </c>
      <c r="L70">
        <f>IFERROR(VLOOKUP(B70,Environments!$A$5:$K$50,5,FALSE),0)</f>
        <v/>
      </c>
      <c r="M70">
        <f>IFERROR(VLOOKUP(B70,Environments!$A$5:$K$50,6,FALSE),0)</f>
        <v/>
      </c>
      <c r="N70">
        <f>IFERROR(VLOOKUP(B70,Environments!$A$5:$K$50,7,FALSE),0)</f>
        <v/>
      </c>
      <c r="O70">
        <f>IFERROR(VLOOKUP(B70,Environments!$A$5:$K$50,11,FALSE),0)</f>
        <v/>
      </c>
      <c r="P70">
        <f>(D70*K70+F70*L70+H70*M70+J70*N70)*Global!$B$5</f>
        <v/>
      </c>
      <c r="Q70">
        <f>IF(SUMIF(Measurement!$B:$B,B70,Measurement!$J:$J)=0,D70*O70,J70*O70)</f>
        <v/>
      </c>
      <c r="R70">
        <f>P70+Q70</f>
        <v/>
      </c>
      <c r="S70">
        <f>IF(IFERROR(VLOOKUP(B70,Environments!$A$5:$K$50,3,FALSE),FALSE),R70*$B$2,0)</f>
        <v/>
      </c>
      <c r="T70">
        <f>R70+S70</f>
        <v/>
      </c>
      <c r="U70">
        <f>T70*12</f>
        <v/>
      </c>
    </row>
    <row r="71">
      <c r="A71">
        <f>Measurement!A69</f>
        <v/>
      </c>
      <c r="B71">
        <f>Measurement!B69</f>
        <v/>
      </c>
      <c r="C71">
        <f>Measurement!G69</f>
        <v/>
      </c>
      <c r="D71">
        <f>IF(SUMIF(Measurement!$B:$B,B71,Measurement!$G:$G)=0,0,C71/SUMIF(Measurement!$B:$B,B71,Measurement!$G:$G))</f>
        <v/>
      </c>
      <c r="E71">
        <f>Measurement!H69</f>
        <v/>
      </c>
      <c r="F71">
        <f>IF(SUMIF(Measurement!$B:$B,B71,Measurement!$H:$H)=0,0,E71/SUMIF(Measurement!$B:$B,B71,Measurement!$H:$H))</f>
        <v/>
      </c>
      <c r="G71">
        <f>Measurement!I69</f>
        <v/>
      </c>
      <c r="H71">
        <f>IF(SUMIF(Measurement!$B:$B,B71,Measurement!$I:$I)=0,0,G71/SUMIF(Measurement!$B:$B,B71,Measurement!$I:$I))</f>
        <v/>
      </c>
      <c r="I71">
        <f>Measurement!J69</f>
        <v/>
      </c>
      <c r="J71">
        <f>IF(SUMIF(Measurement!$B:$B,B71,Measurement!$J:$J)=0,0,I71/SUMIF(Measurement!$B:$B,B71,Measurement!$J:$J))</f>
        <v/>
      </c>
      <c r="K71">
        <f>IFERROR(VLOOKUP(B71,Environments!$A$5:$K$50,4,FALSE),0)</f>
        <v/>
      </c>
      <c r="L71">
        <f>IFERROR(VLOOKUP(B71,Environments!$A$5:$K$50,5,FALSE),0)</f>
        <v/>
      </c>
      <c r="M71">
        <f>IFERROR(VLOOKUP(B71,Environments!$A$5:$K$50,6,FALSE),0)</f>
        <v/>
      </c>
      <c r="N71">
        <f>IFERROR(VLOOKUP(B71,Environments!$A$5:$K$50,7,FALSE),0)</f>
        <v/>
      </c>
      <c r="O71">
        <f>IFERROR(VLOOKUP(B71,Environments!$A$5:$K$50,11,FALSE),0)</f>
        <v/>
      </c>
      <c r="P71">
        <f>(D71*K71+F71*L71+H71*M71+J71*N71)*Global!$B$5</f>
        <v/>
      </c>
      <c r="Q71">
        <f>IF(SUMIF(Measurement!$B:$B,B71,Measurement!$J:$J)=0,D71*O71,J71*O71)</f>
        <v/>
      </c>
      <c r="R71">
        <f>P71+Q71</f>
        <v/>
      </c>
      <c r="S71">
        <f>IF(IFERROR(VLOOKUP(B71,Environments!$A$5:$K$50,3,FALSE),FALSE),R71*$B$2,0)</f>
        <v/>
      </c>
      <c r="T71">
        <f>R71+S71</f>
        <v/>
      </c>
      <c r="U71">
        <f>T71*12</f>
        <v/>
      </c>
    </row>
    <row r="72">
      <c r="A72">
        <f>Measurement!A70</f>
        <v/>
      </c>
      <c r="B72">
        <f>Measurement!B70</f>
        <v/>
      </c>
      <c r="C72">
        <f>Measurement!G70</f>
        <v/>
      </c>
      <c r="D72">
        <f>IF(SUMIF(Measurement!$B:$B,B72,Measurement!$G:$G)=0,0,C72/SUMIF(Measurement!$B:$B,B72,Measurement!$G:$G))</f>
        <v/>
      </c>
      <c r="E72">
        <f>Measurement!H70</f>
        <v/>
      </c>
      <c r="F72">
        <f>IF(SUMIF(Measurement!$B:$B,B72,Measurement!$H:$H)=0,0,E72/SUMIF(Measurement!$B:$B,B72,Measurement!$H:$H))</f>
        <v/>
      </c>
      <c r="G72">
        <f>Measurement!I70</f>
        <v/>
      </c>
      <c r="H72">
        <f>IF(SUMIF(Measurement!$B:$B,B72,Measurement!$I:$I)=0,0,G72/SUMIF(Measurement!$B:$B,B72,Measurement!$I:$I))</f>
        <v/>
      </c>
      <c r="I72">
        <f>Measurement!J70</f>
        <v/>
      </c>
      <c r="J72">
        <f>IF(SUMIF(Measurement!$B:$B,B72,Measurement!$J:$J)=0,0,I72/SUMIF(Measurement!$B:$B,B72,Measurement!$J:$J))</f>
        <v/>
      </c>
      <c r="K72">
        <f>IFERROR(VLOOKUP(B72,Environments!$A$5:$K$50,4,FALSE),0)</f>
        <v/>
      </c>
      <c r="L72">
        <f>IFERROR(VLOOKUP(B72,Environments!$A$5:$K$50,5,FALSE),0)</f>
        <v/>
      </c>
      <c r="M72">
        <f>IFERROR(VLOOKUP(B72,Environments!$A$5:$K$50,6,FALSE),0)</f>
        <v/>
      </c>
      <c r="N72">
        <f>IFERROR(VLOOKUP(B72,Environments!$A$5:$K$50,7,FALSE),0)</f>
        <v/>
      </c>
      <c r="O72">
        <f>IFERROR(VLOOKUP(B72,Environments!$A$5:$K$50,11,FALSE),0)</f>
        <v/>
      </c>
      <c r="P72">
        <f>(D72*K72+F72*L72+H72*M72+J72*N72)*Global!$B$5</f>
        <v/>
      </c>
      <c r="Q72">
        <f>IF(SUMIF(Measurement!$B:$B,B72,Measurement!$J:$J)=0,D72*O72,J72*O72)</f>
        <v/>
      </c>
      <c r="R72">
        <f>P72+Q72</f>
        <v/>
      </c>
      <c r="S72">
        <f>IF(IFERROR(VLOOKUP(B72,Environments!$A$5:$K$50,3,FALSE),FALSE),R72*$B$2,0)</f>
        <v/>
      </c>
      <c r="T72">
        <f>R72+S72</f>
        <v/>
      </c>
      <c r="U72">
        <f>T72*12</f>
        <v/>
      </c>
    </row>
    <row r="73">
      <c r="A73">
        <f>Measurement!A71</f>
        <v/>
      </c>
      <c r="B73">
        <f>Measurement!B71</f>
        <v/>
      </c>
      <c r="C73">
        <f>Measurement!G71</f>
        <v/>
      </c>
      <c r="D73">
        <f>IF(SUMIF(Measurement!$B:$B,B73,Measurement!$G:$G)=0,0,C73/SUMIF(Measurement!$B:$B,B73,Measurement!$G:$G))</f>
        <v/>
      </c>
      <c r="E73">
        <f>Measurement!H71</f>
        <v/>
      </c>
      <c r="F73">
        <f>IF(SUMIF(Measurement!$B:$B,B73,Measurement!$H:$H)=0,0,E73/SUMIF(Measurement!$B:$B,B73,Measurement!$H:$H))</f>
        <v/>
      </c>
      <c r="G73">
        <f>Measurement!I71</f>
        <v/>
      </c>
      <c r="H73">
        <f>IF(SUMIF(Measurement!$B:$B,B73,Measurement!$I:$I)=0,0,G73/SUMIF(Measurement!$B:$B,B73,Measurement!$I:$I))</f>
        <v/>
      </c>
      <c r="I73">
        <f>Measurement!J71</f>
        <v/>
      </c>
      <c r="J73">
        <f>IF(SUMIF(Measurement!$B:$B,B73,Measurement!$J:$J)=0,0,I73/SUMIF(Measurement!$B:$B,B73,Measurement!$J:$J))</f>
        <v/>
      </c>
      <c r="K73">
        <f>IFERROR(VLOOKUP(B73,Environments!$A$5:$K$50,4,FALSE),0)</f>
        <v/>
      </c>
      <c r="L73">
        <f>IFERROR(VLOOKUP(B73,Environments!$A$5:$K$50,5,FALSE),0)</f>
        <v/>
      </c>
      <c r="M73">
        <f>IFERROR(VLOOKUP(B73,Environments!$A$5:$K$50,6,FALSE),0)</f>
        <v/>
      </c>
      <c r="N73">
        <f>IFERROR(VLOOKUP(B73,Environments!$A$5:$K$50,7,FALSE),0)</f>
        <v/>
      </c>
      <c r="O73">
        <f>IFERROR(VLOOKUP(B73,Environments!$A$5:$K$50,11,FALSE),0)</f>
        <v/>
      </c>
      <c r="P73">
        <f>(D73*K73+F73*L73+H73*M73+J73*N73)*Global!$B$5</f>
        <v/>
      </c>
      <c r="Q73">
        <f>IF(SUMIF(Measurement!$B:$B,B73,Measurement!$J:$J)=0,D73*O73,J73*O73)</f>
        <v/>
      </c>
      <c r="R73">
        <f>P73+Q73</f>
        <v/>
      </c>
      <c r="S73">
        <f>IF(IFERROR(VLOOKUP(B73,Environments!$A$5:$K$50,3,FALSE),FALSE),R73*$B$2,0)</f>
        <v/>
      </c>
      <c r="T73">
        <f>R73+S73</f>
        <v/>
      </c>
      <c r="U73">
        <f>T73*12</f>
        <v/>
      </c>
    </row>
    <row r="74">
      <c r="A74">
        <f>Measurement!A72</f>
        <v/>
      </c>
      <c r="B74">
        <f>Measurement!B72</f>
        <v/>
      </c>
      <c r="C74">
        <f>Measurement!G72</f>
        <v/>
      </c>
      <c r="D74">
        <f>IF(SUMIF(Measurement!$B:$B,B74,Measurement!$G:$G)=0,0,C74/SUMIF(Measurement!$B:$B,B74,Measurement!$G:$G))</f>
        <v/>
      </c>
      <c r="E74">
        <f>Measurement!H72</f>
        <v/>
      </c>
      <c r="F74">
        <f>IF(SUMIF(Measurement!$B:$B,B74,Measurement!$H:$H)=0,0,E74/SUMIF(Measurement!$B:$B,B74,Measurement!$H:$H))</f>
        <v/>
      </c>
      <c r="G74">
        <f>Measurement!I72</f>
        <v/>
      </c>
      <c r="H74">
        <f>IF(SUMIF(Measurement!$B:$B,B74,Measurement!$I:$I)=0,0,G74/SUMIF(Measurement!$B:$B,B74,Measurement!$I:$I))</f>
        <v/>
      </c>
      <c r="I74">
        <f>Measurement!J72</f>
        <v/>
      </c>
      <c r="J74">
        <f>IF(SUMIF(Measurement!$B:$B,B74,Measurement!$J:$J)=0,0,I74/SUMIF(Measurement!$B:$B,B74,Measurement!$J:$J))</f>
        <v/>
      </c>
      <c r="K74">
        <f>IFERROR(VLOOKUP(B74,Environments!$A$5:$K$50,4,FALSE),0)</f>
        <v/>
      </c>
      <c r="L74">
        <f>IFERROR(VLOOKUP(B74,Environments!$A$5:$K$50,5,FALSE),0)</f>
        <v/>
      </c>
      <c r="M74">
        <f>IFERROR(VLOOKUP(B74,Environments!$A$5:$K$50,6,FALSE),0)</f>
        <v/>
      </c>
      <c r="N74">
        <f>IFERROR(VLOOKUP(B74,Environments!$A$5:$K$50,7,FALSE),0)</f>
        <v/>
      </c>
      <c r="O74">
        <f>IFERROR(VLOOKUP(B74,Environments!$A$5:$K$50,11,FALSE),0)</f>
        <v/>
      </c>
      <c r="P74">
        <f>(D74*K74+F74*L74+H74*M74+J74*N74)*Global!$B$5</f>
        <v/>
      </c>
      <c r="Q74">
        <f>IF(SUMIF(Measurement!$B:$B,B74,Measurement!$J:$J)=0,D74*O74,J74*O74)</f>
        <v/>
      </c>
      <c r="R74">
        <f>P74+Q74</f>
        <v/>
      </c>
      <c r="S74">
        <f>IF(IFERROR(VLOOKUP(B74,Environments!$A$5:$K$50,3,FALSE),FALSE),R74*$B$2,0)</f>
        <v/>
      </c>
      <c r="T74">
        <f>R74+S74</f>
        <v/>
      </c>
      <c r="U74">
        <f>T74*12</f>
        <v/>
      </c>
    </row>
    <row r="75">
      <c r="A75">
        <f>Measurement!A73</f>
        <v/>
      </c>
      <c r="B75">
        <f>Measurement!B73</f>
        <v/>
      </c>
      <c r="C75">
        <f>Measurement!G73</f>
        <v/>
      </c>
      <c r="D75">
        <f>IF(SUMIF(Measurement!$B:$B,B75,Measurement!$G:$G)=0,0,C75/SUMIF(Measurement!$B:$B,B75,Measurement!$G:$G))</f>
        <v/>
      </c>
      <c r="E75">
        <f>Measurement!H73</f>
        <v/>
      </c>
      <c r="F75">
        <f>IF(SUMIF(Measurement!$B:$B,B75,Measurement!$H:$H)=0,0,E75/SUMIF(Measurement!$B:$B,B75,Measurement!$H:$H))</f>
        <v/>
      </c>
      <c r="G75">
        <f>Measurement!I73</f>
        <v/>
      </c>
      <c r="H75">
        <f>IF(SUMIF(Measurement!$B:$B,B75,Measurement!$I:$I)=0,0,G75/SUMIF(Measurement!$B:$B,B75,Measurement!$I:$I))</f>
        <v/>
      </c>
      <c r="I75">
        <f>Measurement!J73</f>
        <v/>
      </c>
      <c r="J75">
        <f>IF(SUMIF(Measurement!$B:$B,B75,Measurement!$J:$J)=0,0,I75/SUMIF(Measurement!$B:$B,B75,Measurement!$J:$J))</f>
        <v/>
      </c>
      <c r="K75">
        <f>IFERROR(VLOOKUP(B75,Environments!$A$5:$K$50,4,FALSE),0)</f>
        <v/>
      </c>
      <c r="L75">
        <f>IFERROR(VLOOKUP(B75,Environments!$A$5:$K$50,5,FALSE),0)</f>
        <v/>
      </c>
      <c r="M75">
        <f>IFERROR(VLOOKUP(B75,Environments!$A$5:$K$50,6,FALSE),0)</f>
        <v/>
      </c>
      <c r="N75">
        <f>IFERROR(VLOOKUP(B75,Environments!$A$5:$K$50,7,FALSE),0)</f>
        <v/>
      </c>
      <c r="O75">
        <f>IFERROR(VLOOKUP(B75,Environments!$A$5:$K$50,11,FALSE),0)</f>
        <v/>
      </c>
      <c r="P75">
        <f>(D75*K75+F75*L75+H75*M75+J75*N75)*Global!$B$5</f>
        <v/>
      </c>
      <c r="Q75">
        <f>IF(SUMIF(Measurement!$B:$B,B75,Measurement!$J:$J)=0,D75*O75,J75*O75)</f>
        <v/>
      </c>
      <c r="R75">
        <f>P75+Q75</f>
        <v/>
      </c>
      <c r="S75">
        <f>IF(IFERROR(VLOOKUP(B75,Environments!$A$5:$K$50,3,FALSE),FALSE),R75*$B$2,0)</f>
        <v/>
      </c>
      <c r="T75">
        <f>R75+S75</f>
        <v/>
      </c>
      <c r="U75">
        <f>T75*12</f>
        <v/>
      </c>
    </row>
    <row r="76">
      <c r="A76">
        <f>Measurement!A74</f>
        <v/>
      </c>
      <c r="B76">
        <f>Measurement!B74</f>
        <v/>
      </c>
      <c r="C76">
        <f>Measurement!G74</f>
        <v/>
      </c>
      <c r="D76">
        <f>IF(SUMIF(Measurement!$B:$B,B76,Measurement!$G:$G)=0,0,C76/SUMIF(Measurement!$B:$B,B76,Measurement!$G:$G))</f>
        <v/>
      </c>
      <c r="E76">
        <f>Measurement!H74</f>
        <v/>
      </c>
      <c r="F76">
        <f>IF(SUMIF(Measurement!$B:$B,B76,Measurement!$H:$H)=0,0,E76/SUMIF(Measurement!$B:$B,B76,Measurement!$H:$H))</f>
        <v/>
      </c>
      <c r="G76">
        <f>Measurement!I74</f>
        <v/>
      </c>
      <c r="H76">
        <f>IF(SUMIF(Measurement!$B:$B,B76,Measurement!$I:$I)=0,0,G76/SUMIF(Measurement!$B:$B,B76,Measurement!$I:$I))</f>
        <v/>
      </c>
      <c r="I76">
        <f>Measurement!J74</f>
        <v/>
      </c>
      <c r="J76">
        <f>IF(SUMIF(Measurement!$B:$B,B76,Measurement!$J:$J)=0,0,I76/SUMIF(Measurement!$B:$B,B76,Measurement!$J:$J))</f>
        <v/>
      </c>
      <c r="K76">
        <f>IFERROR(VLOOKUP(B76,Environments!$A$5:$K$50,4,FALSE),0)</f>
        <v/>
      </c>
      <c r="L76">
        <f>IFERROR(VLOOKUP(B76,Environments!$A$5:$K$50,5,FALSE),0)</f>
        <v/>
      </c>
      <c r="M76">
        <f>IFERROR(VLOOKUP(B76,Environments!$A$5:$K$50,6,FALSE),0)</f>
        <v/>
      </c>
      <c r="N76">
        <f>IFERROR(VLOOKUP(B76,Environments!$A$5:$K$50,7,FALSE),0)</f>
        <v/>
      </c>
      <c r="O76">
        <f>IFERROR(VLOOKUP(B76,Environments!$A$5:$K$50,11,FALSE),0)</f>
        <v/>
      </c>
      <c r="P76">
        <f>(D76*K76+F76*L76+H76*M76+J76*N76)*Global!$B$5</f>
        <v/>
      </c>
      <c r="Q76">
        <f>IF(SUMIF(Measurement!$B:$B,B76,Measurement!$J:$J)=0,D76*O76,J76*O76)</f>
        <v/>
      </c>
      <c r="R76">
        <f>P76+Q76</f>
        <v/>
      </c>
      <c r="S76">
        <f>IF(IFERROR(VLOOKUP(B76,Environments!$A$5:$K$50,3,FALSE),FALSE),R76*$B$2,0)</f>
        <v/>
      </c>
      <c r="T76">
        <f>R76+S76</f>
        <v/>
      </c>
      <c r="U76">
        <f>T76*12</f>
        <v/>
      </c>
    </row>
    <row r="77">
      <c r="A77">
        <f>Measurement!A75</f>
        <v/>
      </c>
      <c r="B77">
        <f>Measurement!B75</f>
        <v/>
      </c>
      <c r="C77">
        <f>Measurement!G75</f>
        <v/>
      </c>
      <c r="D77">
        <f>IF(SUMIF(Measurement!$B:$B,B77,Measurement!$G:$G)=0,0,C77/SUMIF(Measurement!$B:$B,B77,Measurement!$G:$G))</f>
        <v/>
      </c>
      <c r="E77">
        <f>Measurement!H75</f>
        <v/>
      </c>
      <c r="F77">
        <f>IF(SUMIF(Measurement!$B:$B,B77,Measurement!$H:$H)=0,0,E77/SUMIF(Measurement!$B:$B,B77,Measurement!$H:$H))</f>
        <v/>
      </c>
      <c r="G77">
        <f>Measurement!I75</f>
        <v/>
      </c>
      <c r="H77">
        <f>IF(SUMIF(Measurement!$B:$B,B77,Measurement!$I:$I)=0,0,G77/SUMIF(Measurement!$B:$B,B77,Measurement!$I:$I))</f>
        <v/>
      </c>
      <c r="I77">
        <f>Measurement!J75</f>
        <v/>
      </c>
      <c r="J77">
        <f>IF(SUMIF(Measurement!$B:$B,B77,Measurement!$J:$J)=0,0,I77/SUMIF(Measurement!$B:$B,B77,Measurement!$J:$J))</f>
        <v/>
      </c>
      <c r="K77">
        <f>IFERROR(VLOOKUP(B77,Environments!$A$5:$K$50,4,FALSE),0)</f>
        <v/>
      </c>
      <c r="L77">
        <f>IFERROR(VLOOKUP(B77,Environments!$A$5:$K$50,5,FALSE),0)</f>
        <v/>
      </c>
      <c r="M77">
        <f>IFERROR(VLOOKUP(B77,Environments!$A$5:$K$50,6,FALSE),0)</f>
        <v/>
      </c>
      <c r="N77">
        <f>IFERROR(VLOOKUP(B77,Environments!$A$5:$K$50,7,FALSE),0)</f>
        <v/>
      </c>
      <c r="O77">
        <f>IFERROR(VLOOKUP(B77,Environments!$A$5:$K$50,11,FALSE),0)</f>
        <v/>
      </c>
      <c r="P77">
        <f>(D77*K77+F77*L77+H77*M77+J77*N77)*Global!$B$5</f>
        <v/>
      </c>
      <c r="Q77">
        <f>IF(SUMIF(Measurement!$B:$B,B77,Measurement!$J:$J)=0,D77*O77,J77*O77)</f>
        <v/>
      </c>
      <c r="R77">
        <f>P77+Q77</f>
        <v/>
      </c>
      <c r="S77">
        <f>IF(IFERROR(VLOOKUP(B77,Environments!$A$5:$K$50,3,FALSE),FALSE),R77*$B$2,0)</f>
        <v/>
      </c>
      <c r="T77">
        <f>R77+S77</f>
        <v/>
      </c>
      <c r="U77">
        <f>T77*12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Pick any Measurement family — rates from Environments via VLOOKUP (any env code).</t>
        </is>
      </c>
    </row>
    <row r="3">
      <c r="A3" t="inlineStr">
        <is>
          <t>Family</t>
        </is>
      </c>
      <c r="B3" s="4" t="inlineStr">
        <is>
          <t>pre-k8s-cloud-applogs-tst</t>
        </is>
      </c>
    </row>
    <row r="4">
      <c r="A4" t="inlineStr">
        <is>
          <t>Env</t>
        </is>
      </c>
      <c r="B4">
        <f>IFERROR(INDEX(Measurement!B:B,MATCH(B3,Measurement!A:A,0)),"")</f>
        <v/>
      </c>
    </row>
    <row r="5">
      <c r="A5" t="inlineStr">
        <is>
          <t>GB hot</t>
        </is>
      </c>
      <c r="B5">
        <f>IFERROR(SUMIF(Measurement!A:A,B3,Measurement!G:G),0)</f>
        <v/>
      </c>
    </row>
    <row r="6">
      <c r="A6" t="inlineStr">
        <is>
          <t>GB warm</t>
        </is>
      </c>
      <c r="B6">
        <f>IFERROR(SUMIF(Measurement!A:A,B3,Measurement!H:H),0)</f>
        <v/>
      </c>
    </row>
    <row r="7">
      <c r="A7" t="inlineStr">
        <is>
          <t>GB cold</t>
        </is>
      </c>
      <c r="B7">
        <f>IFERROR(SUMIF(Measurement!A:A,B3,Measurement!I:I),0)</f>
        <v/>
      </c>
    </row>
    <row r="8">
      <c r="A8" t="inlineStr">
        <is>
          <t>GB frozen</t>
        </is>
      </c>
      <c r="B8">
        <f>IFERROR(SUMIF(Measurement!A:A,B3,Measurement!J:J),0)</f>
        <v/>
      </c>
    </row>
    <row r="9">
      <c r="A9" t="inlineStr">
        <is>
          <t>Hot share</t>
        </is>
      </c>
      <c r="B9">
        <f>IF(SUMIF(Measurement!B:B,B4,Measurement!G:G)=0,0,B5/SUMIF(Measurement!B:B,B4,Measurement!G:G))</f>
        <v/>
      </c>
    </row>
    <row r="10">
      <c r="A10" t="inlineStr">
        <is>
          <t>Warm share</t>
        </is>
      </c>
      <c r="B10">
        <f>IF(SUMIF(Measurement!B:B,B4,Measurement!H:H)=0,0,B6/SUMIF(Measurement!B:B,B4,Measurement!H:H))</f>
        <v/>
      </c>
    </row>
    <row r="11">
      <c r="A11" t="inlineStr">
        <is>
          <t>Cold share</t>
        </is>
      </c>
      <c r="B11">
        <f>IF(SUMIF(Measurement!B:B,B4,Measurement!I:I)=0,0,B7/SUMIF(Measurement!B:B,B4,Measurement!I:I))</f>
        <v/>
      </c>
    </row>
    <row r="12">
      <c r="A12" t="inlineStr">
        <is>
          <t>Frozen share</t>
        </is>
      </c>
      <c r="B12">
        <f>IF(SUMIF(Measurement!B:B,B4,Measurement!J:J)=0,0,B8/SUMIF(Measurement!B:B,B4,Measurement!J:J))</f>
        <v/>
      </c>
    </row>
    <row r="13">
      <c r="A13" t="inlineStr">
        <is>
          <t>Hot /h</t>
        </is>
      </c>
      <c r="B13">
        <f>IFERROR(VLOOKUP(B4,Environments!$A$5:$K$50,4,FALSE),0)</f>
        <v/>
      </c>
    </row>
    <row r="14">
      <c r="A14" t="inlineStr">
        <is>
          <t>Warm /h</t>
        </is>
      </c>
      <c r="B14">
        <f>IFERROR(VLOOKUP(B4,Environments!$A$5:$K$50,5,FALSE),0)</f>
        <v/>
      </c>
    </row>
    <row r="15">
      <c r="A15" t="inlineStr">
        <is>
          <t>Cold /h</t>
        </is>
      </c>
      <c r="B15">
        <f>IFERROR(VLOOKUP(B4,Environments!$A$5:$K$50,6,FALSE),0)</f>
        <v/>
      </c>
    </row>
    <row r="16">
      <c r="A16" t="inlineStr">
        <is>
          <t>Frozen /h</t>
        </is>
      </c>
      <c r="B16">
        <f>IFERROR(VLOOKUP(B4,Environments!$A$5:$K$50,7,FALSE),0)</f>
        <v/>
      </c>
    </row>
    <row r="17">
      <c r="A17" t="inlineStr">
        <is>
          <t>Snapshots / mo</t>
        </is>
      </c>
      <c r="B17">
        <f>IFERROR(VLOOKUP(B4,Environments!$A$5:$K$50,11,FALSE),0)</f>
        <v/>
      </c>
    </row>
    <row r="18">
      <c r="A18" t="inlineStr">
        <is>
          <t>Apply surcharge?</t>
        </is>
      </c>
      <c r="B18">
        <f>IFERROR(VLOOKUP(B4,Environments!$A$5:$K$50,3,FALSE),FALSE)</f>
        <v/>
      </c>
    </row>
    <row r="19">
      <c r="A19" t="inlineStr">
        <is>
          <t>Cost/mo capacity</t>
        </is>
      </c>
      <c r="B19">
        <f>(B9*B13+B10*B14+B11*B15+B12*B16)*Global!B5</f>
        <v/>
      </c>
    </row>
    <row r="20">
      <c r="A20" t="inlineStr">
        <is>
          <t>Cost/mo snapshots</t>
        </is>
      </c>
      <c r="B20">
        <f>IF(SUMIF(Measurement!B:B,B4,Measurement!J:J)=0,B9*B17,B12*B17)</f>
        <v/>
      </c>
    </row>
    <row r="21">
      <c r="A21" t="inlineStr">
        <is>
          <t>Cost/mo Elastic</t>
        </is>
      </c>
      <c r="B21">
        <f>B19+B20</f>
        <v/>
      </c>
    </row>
    <row r="22">
      <c r="A22" t="inlineStr">
        <is>
          <t>Cost/mo surcharge</t>
        </is>
      </c>
      <c r="B22">
        <f>IF(B18,B21*Global!B17,0)</f>
        <v/>
      </c>
    </row>
    <row r="23">
      <c r="A23" t="inlineStr">
        <is>
          <t>Cost/mo total</t>
        </is>
      </c>
      <c r="B23">
        <f>B21+B22</f>
        <v/>
      </c>
    </row>
    <row r="24">
      <c r="A24" t="inlineStr">
        <is>
          <t>Cost/year</t>
        </is>
      </c>
      <c r="B24">
        <f>B23*12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2026-09-24T09:08:27Z</dcterms:created>
  <dcterms:modified xmlns:dcterms="http://purl.org/dc/terms/" xmlns:xsi="http://www.w3.org/2001/XMLSchema-instance" xsi:type="dcterms:W3CDTF">2026-09-24T09:08:27Z</dcterms:modified>
</cp:coreProperties>
</file>