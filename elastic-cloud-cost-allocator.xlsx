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nvironments" sheetId="2" state="visible" r:id="rId2"/>
    <sheet xmlns:r="http://schemas.openxmlformats.org/officeDocument/2006/relationships" name="Global" sheetId="3" state="visible" r:id="rId3"/>
    <sheet xmlns:r="http://schemas.openxmlformats.org/officeDocument/2006/relationships" name="Measurement" sheetId="4" state="visible" r:id="rId4"/>
    <sheet xmlns:r="http://schemas.openxmlformats.org/officeDocument/2006/relationships" name="Without Admin Cost" sheetId="5" state="visible" r:id="rId5"/>
    <sheet xmlns:r="http://schemas.openxmlformats.org/officeDocument/2006/relationships" name="With Admin Cost" sheetId="6" state="visible" r:id="rId6"/>
    <sheet xmlns:r="http://schemas.openxmlformats.org/officeDocument/2006/relationships" name="Any Fam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6B66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E8F0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DF"/>
      </left>
      <right style="thin">
        <color rgb="00D9E2DF"/>
      </right>
      <top style="thin">
        <color rgb="00D9E2DF"/>
      </top>
      <bottom style="thin">
        <color rgb="00D9E2D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Elastic Cloud Cost Allocator — configurable environments</t>
        </is>
      </c>
    </row>
    <row r="3">
      <c r="A3" t="inlineStr">
        <is>
          <t>1. Edit Environments: add/rename codes (DEV, INT, UAT, PROD, MONITORING, …). Set Apply surcharge TRUE/FALSE.</t>
        </is>
      </c>
    </row>
    <row r="4">
      <c r="A4" t="inlineStr">
        <is>
          <t>2. Edit Global: hours, annual commit, margin, other annual ECU.</t>
        </is>
      </c>
    </row>
    <row r="5">
      <c r="A5" t="inlineStr">
        <is>
          <t>3. Fill Measurement with your index families. Env must match an Environments Code.</t>
        </is>
      </c>
    </row>
    <row r="6">
      <c r="A6" t="inlineStr">
        <is>
          <t>4. Read Without / With Admin Cost and Any Family.</t>
        </is>
      </c>
    </row>
    <row r="8">
      <c r="A8" t="inlineStr">
        <is>
          <t>Sample PRE/PRO/MON codes are examples only — not required. Replace with your topology.</t>
        </is>
      </c>
    </row>
    <row r="9">
      <c r="A9" t="inlineStr">
        <is>
          <t>HTML twin: web/index.html (same model).</t>
        </is>
      </c>
    </row>
    <row r="10">
      <c r="A10" t="inlineStr">
        <is>
          <t>https://github.com/superlopezg/elastic-cloud-cost-allocator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Environments — configure as many clusters as you need (rename codes, add DEV/INT/UAT/…).</t>
        </is>
      </c>
    </row>
    <row r="2">
      <c r="A2" t="inlineStr">
        <is>
          <t>Yellow cells are editable. Measurement.env must match Code. Surcharge=TRUE → families get commit uplift; FALSE → dedicated (own rate, deducted from commit target).</t>
        </is>
      </c>
    </row>
    <row r="4">
      <c r="A4" s="2" t="inlineStr">
        <is>
          <t>Code</t>
        </is>
      </c>
      <c r="B4" s="2" t="inlineStr">
        <is>
          <t>Label</t>
        </is>
      </c>
      <c r="C4" s="2" t="inlineStr">
        <is>
          <t>Apply surcharge</t>
        </is>
      </c>
      <c r="D4" s="2" t="inlineStr">
        <is>
          <t>Hot ECU/h</t>
        </is>
      </c>
      <c r="E4" s="2" t="inlineStr">
        <is>
          <t>Frozen ECU/h</t>
        </is>
      </c>
      <c r="F4" s="2" t="inlineStr">
        <is>
          <t>Kibana ECU/h</t>
        </is>
      </c>
      <c r="G4" s="2" t="inlineStr">
        <is>
          <t>Integrations ECU/h</t>
        </is>
      </c>
      <c r="H4" s="2" t="inlineStr">
        <is>
          <t>Tiebreaker ECU/h</t>
        </is>
      </c>
      <c r="I4" s="2" t="inlineStr">
        <is>
          <t>Snapshots ECU/month</t>
        </is>
      </c>
    </row>
    <row r="5">
      <c r="A5" s="3" t="inlineStr">
        <is>
          <t>PRE</t>
        </is>
      </c>
      <c r="B5" s="3" t="inlineStr">
        <is>
          <t>Pre-production (sample)</t>
        </is>
      </c>
      <c r="C5" s="3" t="b">
        <v>1</v>
      </c>
      <c r="D5" s="3" t="n">
        <v>3.5</v>
      </c>
      <c r="E5" s="3" t="n">
        <v>0.35</v>
      </c>
      <c r="F5" s="3" t="n">
        <v>0.28</v>
      </c>
      <c r="G5" s="3" t="n">
        <v>0.14</v>
      </c>
      <c r="H5" s="3" t="n">
        <v>0</v>
      </c>
      <c r="I5" s="3" t="n">
        <v>200</v>
      </c>
    </row>
    <row r="6">
      <c r="A6" s="3" t="inlineStr">
        <is>
          <t>PRO</t>
        </is>
      </c>
      <c r="B6" s="3" t="inlineStr">
        <is>
          <t>Production (sample)</t>
        </is>
      </c>
      <c r="C6" s="3" t="b">
        <v>1</v>
      </c>
      <c r="D6" s="3" t="n">
        <v>5</v>
      </c>
      <c r="E6" s="3" t="n">
        <v>1</v>
      </c>
      <c r="F6" s="3" t="n">
        <v>0.5600000000000001</v>
      </c>
      <c r="G6" s="3" t="n">
        <v>0.14</v>
      </c>
      <c r="H6" s="3" t="n">
        <v>0.07000000000000001</v>
      </c>
      <c r="I6" s="3" t="n">
        <v>500</v>
      </c>
    </row>
    <row r="7">
      <c r="A7" s="3" t="inlineStr">
        <is>
          <t>MON</t>
        </is>
      </c>
      <c r="B7" s="3" t="inlineStr">
        <is>
          <t>Monitoring dedicated (sample)</t>
        </is>
      </c>
      <c r="C7" s="3" t="b">
        <v>0</v>
      </c>
      <c r="D7" s="3" t="n">
        <v>0.5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10</v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1" t="inlineStr">
        <is>
          <t>Global contract parameters</t>
        </is>
      </c>
    </row>
    <row r="3">
      <c r="A3" t="inlineStr">
        <is>
          <t>Hours / month</t>
        </is>
      </c>
      <c r="B3" s="4" t="n">
        <v>730</v>
      </c>
    </row>
    <row r="4">
      <c r="A4" t="inlineStr">
        <is>
          <t>Annual ECU commit</t>
        </is>
      </c>
      <c r="B4" s="4" t="n">
        <v>100000</v>
      </c>
    </row>
    <row r="5">
      <c r="A5" t="inlineStr">
        <is>
          <t>Margin on commit</t>
        </is>
      </c>
      <c r="B5" s="4" t="n">
        <v>0.03</v>
      </c>
    </row>
    <row r="6">
      <c r="A6" t="inlineStr">
        <is>
          <t>Other ECU / year (egress + snapshot API)</t>
        </is>
      </c>
      <c r="B6" s="4" t="n">
        <v>500</v>
      </c>
    </row>
    <row r="8">
      <c r="A8" t="inlineStr">
        <is>
          <t>Hours / year</t>
        </is>
      </c>
      <c r="B8">
        <f>B3*12</f>
        <v/>
      </c>
    </row>
    <row r="9">
      <c r="A9" t="inlineStr">
        <is>
          <t>Annual target</t>
        </is>
      </c>
      <c r="B9">
        <f>B4*(1+B5)</f>
        <v/>
      </c>
    </row>
    <row r="11">
      <c r="A11" t="inlineStr">
        <is>
          <t>Surchargeable base / year (envs with Apply surcharge = TRUE)</t>
        </is>
      </c>
      <c r="B11">
        <f>SUMPRODUCT((Environments!C5:C50=TRUE)*(Environments!D5:D50+Environments!E5:E50)*$B$8)+SUMPRODUCT((Environments!C5:C50=TRUE)*Environments!I5:I50*12)</f>
        <v/>
      </c>
    </row>
    <row r="12">
      <c r="A12" t="inlineStr">
        <is>
          <t>Dedicated envs / year (Apply surcharge = FALSE)</t>
        </is>
      </c>
      <c r="B12">
        <f>SUMPRODUCT((Environments!C5:C50=FALSE)*(Environments!D5:D50+Environments!E5:E50)*$B$8)+SUMPRODUCT((Environments!C5:C50=FALSE)*Environments!I5:I50*12)</f>
        <v/>
      </c>
    </row>
    <row r="13">
      <c r="A13" t="inlineStr">
        <is>
          <t>Platform annual (Kibana+Integrations+Tiebreaker on surchargeable envs)</t>
        </is>
      </c>
      <c r="B13">
        <f>SUMPRODUCT((Environments!C5:C50=TRUE)*(Environments!F5:F50+Environments!G5:G50+Environments!H5:H50)*$B$8)</f>
        <v/>
      </c>
    </row>
    <row r="14">
      <c r="A14" t="inlineStr">
        <is>
          <t>Computed surcharge</t>
        </is>
      </c>
      <c r="B14">
        <f>IF(B11=0,0,(B9-B12)/B11-1)</f>
        <v/>
      </c>
    </row>
    <row r="15">
      <c r="A15" t="inlineStr">
        <is>
          <t>Estimated consumption</t>
        </is>
      </c>
      <c r="B15">
        <f>B11+B12+B13+B6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40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>
      <c r="A1" s="1" t="inlineStr">
        <is>
          <t>Measurement — one row per index family. Env code must exist in Environments!A.</t>
        </is>
      </c>
    </row>
    <row r="2">
      <c r="A2" s="2" t="inlineStr">
        <is>
          <t>Family</t>
        </is>
      </c>
      <c r="B2" s="2" t="inlineStr">
        <is>
          <t>Env</t>
        </is>
      </c>
      <c r="C2" s="2" t="inlineStr">
        <is>
          <t>What</t>
        </is>
      </c>
      <c r="D2" s="2" t="inlineStr">
        <is>
          <t>Events/s 15m</t>
        </is>
      </c>
      <c r="E2" s="2" t="inlineStr">
        <is>
          <t>KB/doc</t>
        </is>
      </c>
      <c r="F2" s="2" t="inlineStr">
        <is>
          <t>Docs</t>
        </is>
      </c>
      <c r="G2" s="2" t="inlineStr">
        <is>
          <t>GB hot</t>
        </is>
      </c>
      <c r="H2" s="2" t="inlineStr">
        <is>
          <t>GB frozen</t>
        </is>
      </c>
      <c r="I2" s="2" t="inlineStr">
        <is>
          <t>Indices</t>
        </is>
      </c>
      <c r="J2" s="2" t="inlineStr">
        <is>
          <t>Events/s life</t>
        </is>
      </c>
      <c r="K2" s="2" t="inlineStr">
        <is>
          <t>Age days</t>
        </is>
      </c>
    </row>
    <row r="3">
      <c r="A3" s="4" t="inlineStr">
        <is>
          <t>pre-k8s-cloud-applogs-tst</t>
        </is>
      </c>
      <c r="B3" s="4" t="inlineStr">
        <is>
          <t>PRE</t>
        </is>
      </c>
      <c r="C3" s="4" t="inlineStr">
        <is>
          <t>logs de aplicacion Kubernetes, Azure, tst. Patron pre-k8s-azure-applogs-tst</t>
        </is>
      </c>
      <c r="D3" t="n">
        <v>3514.4</v>
      </c>
      <c r="E3" t="n">
        <v>1.47</v>
      </c>
      <c r="F3" t="n">
        <v>1865600672</v>
      </c>
      <c r="G3" s="4" t="n">
        <v>99.542</v>
      </c>
      <c r="H3" s="4" t="n">
        <v>1304.55</v>
      </c>
      <c r="I3" t="n">
        <v>1</v>
      </c>
      <c r="J3" t="n">
        <v>1318.5</v>
      </c>
      <c r="K3" t="n">
        <v>25.74</v>
      </c>
    </row>
    <row r="4">
      <c r="A4" s="4" t="inlineStr">
        <is>
          <t>pre-k8s-onprem-applogs-tst</t>
        </is>
      </c>
      <c r="B4" s="4" t="inlineStr">
        <is>
          <t>PRE</t>
        </is>
      </c>
      <c r="C4" s="4" t="inlineStr">
        <is>
          <t>logs de aplicacion Kubernetes, on-prem, tst. Patron pre-k8s-onprem-applogs-tst</t>
        </is>
      </c>
      <c r="D4" t="n">
        <v>3998.4</v>
      </c>
      <c r="E4" t="n">
        <v>0.346</v>
      </c>
      <c r="F4" t="n">
        <v>955805221</v>
      </c>
      <c r="G4" s="4" t="n">
        <v>16.773</v>
      </c>
      <c r="H4" s="4" t="n">
        <v>75.90000000000001</v>
      </c>
      <c r="I4" t="n">
        <v>88</v>
      </c>
      <c r="J4" t="n">
        <v>731</v>
      </c>
      <c r="K4" t="n">
        <v>32.12</v>
      </c>
    </row>
    <row r="5">
      <c r="A5" s="4" t="inlineStr">
        <is>
          <t>pre-k8s-cloud-applogs</t>
        </is>
      </c>
      <c r="B5" s="4" t="inlineStr">
        <is>
          <t>PRE</t>
        </is>
      </c>
      <c r="C5" s="4" t="inlineStr">
        <is>
          <t>logs de aplicacion Kubernetes, Azure. Patron pre-k8s-azure-applogs</t>
        </is>
      </c>
      <c r="D5" t="n">
        <v>7672</v>
      </c>
      <c r="E5" t="n">
        <v>3.968</v>
      </c>
      <c r="F5" t="n">
        <v>1098204509</v>
      </c>
      <c r="G5" s="4" t="n">
        <v>90.31399999999999</v>
      </c>
      <c r="H5" s="4" t="n">
        <v>1151.7</v>
      </c>
      <c r="I5" t="n">
        <v>68</v>
      </c>
      <c r="J5" t="n">
        <v>420.5</v>
      </c>
      <c r="K5" t="n">
        <v>331.85</v>
      </c>
    </row>
    <row r="6">
      <c r="A6" s="4" t="inlineStr">
        <is>
          <t>pre-k8s-onprem-applogs-dev</t>
        </is>
      </c>
      <c r="B6" s="4" t="inlineStr">
        <is>
          <t>PRE</t>
        </is>
      </c>
      <c r="C6" s="4" t="inlineStr">
        <is>
          <t>logs de aplicacion Kubernetes, on-prem, dev. Patron pre-k8s-onprem-applogs-dev</t>
        </is>
      </c>
      <c r="D6" t="n">
        <v>1573.6</v>
      </c>
      <c r="E6" t="n">
        <v>0.282</v>
      </c>
      <c r="F6" t="n">
        <v>28209859</v>
      </c>
      <c r="G6" s="4" t="n">
        <v>71.404</v>
      </c>
      <c r="H6" s="4" t="n">
        <v>797.7</v>
      </c>
      <c r="I6" t="n">
        <v>31</v>
      </c>
      <c r="J6" t="n">
        <v>2115.5</v>
      </c>
      <c r="K6" t="n">
        <v>72.22</v>
      </c>
    </row>
    <row r="7">
      <c r="A7" s="4" t="inlineStr">
        <is>
          <t>pre-k8s-onprem-applogs</t>
        </is>
      </c>
      <c r="B7" s="4" t="inlineStr">
        <is>
          <t>PRE</t>
        </is>
      </c>
      <c r="C7" s="4" t="inlineStr">
        <is>
          <t>logs de aplicacion Kubernetes, on-prem. Patron pre-k8s-onprem-applogs</t>
        </is>
      </c>
      <c r="D7" t="n">
        <v>5446.4</v>
      </c>
      <c r="E7" t="n">
        <v>0.499</v>
      </c>
      <c r="F7" t="n">
        <v>1545602272</v>
      </c>
      <c r="G7" s="4" t="n">
        <v>68.69199999999999</v>
      </c>
      <c r="H7" s="4" t="n">
        <v>927</v>
      </c>
      <c r="I7" t="n">
        <v>2</v>
      </c>
      <c r="J7" t="n">
        <v>4361</v>
      </c>
      <c r="K7" t="n">
        <v>306.24</v>
      </c>
    </row>
    <row r="8">
      <c r="A8" s="4" t="inlineStr">
        <is>
          <t>pre-k8s-cloud-applogs-dev</t>
        </is>
      </c>
      <c r="B8" s="4" t="inlineStr">
        <is>
          <t>PRE</t>
        </is>
      </c>
      <c r="C8" s="4" t="inlineStr">
        <is>
          <t>logs de aplicacion Kubernetes, Azure, dev. Patron pre-k8s-azure-applogs-dev</t>
        </is>
      </c>
      <c r="D8" t="n">
        <v>2785.6</v>
      </c>
      <c r="E8" t="n">
        <v>1.781</v>
      </c>
      <c r="F8" t="n">
        <v>1271603642</v>
      </c>
      <c r="G8" s="4" t="n">
        <v>105.037</v>
      </c>
      <c r="H8" s="4" t="n">
        <v>1426.8</v>
      </c>
      <c r="I8" t="n">
        <v>76</v>
      </c>
      <c r="J8" t="n">
        <v>578</v>
      </c>
      <c r="K8" t="n">
        <v>75.17</v>
      </c>
    </row>
    <row r="9">
      <c r="A9" s="4" t="inlineStr">
        <is>
          <t>.ds-logs-pre-ds-core-policy</t>
        </is>
      </c>
      <c r="B9" s="4" t="inlineStr">
        <is>
          <t>PRE</t>
        </is>
      </c>
      <c r="C9" s="4" t="inlineStr">
        <is>
          <t>Data stream, policy platform. Patron .ds-logs-pre-ds-core-policy platform</t>
        </is>
      </c>
      <c r="D9" t="n">
        <v>2586.4</v>
      </c>
      <c r="E9" t="n">
        <v>2.685</v>
      </c>
      <c r="F9" t="n">
        <v>1004004980</v>
      </c>
      <c r="G9" s="4" t="n">
        <v>53.802</v>
      </c>
      <c r="H9" s="4" t="n">
        <v>1289.7</v>
      </c>
      <c r="I9" t="n">
        <v>28</v>
      </c>
      <c r="J9" t="n">
        <v>3184</v>
      </c>
      <c r="K9" t="n">
        <v>378.09</v>
      </c>
    </row>
    <row r="10">
      <c r="A10" s="4" t="inlineStr">
        <is>
          <t>pre-app-masterdata</t>
        </is>
      </c>
      <c r="B10" s="4" t="inlineStr">
        <is>
          <t>PRE</t>
        </is>
      </c>
      <c r="C10" s="4" t="inlineStr">
        <is>
          <t>MDM. Patron pre-app-masterdata</t>
        </is>
      </c>
      <c r="D10" t="n">
        <v>563.2</v>
      </c>
      <c r="E10" t="n">
        <v>3.558</v>
      </c>
      <c r="F10" t="n">
        <v>885205574</v>
      </c>
      <c r="G10" s="4" t="n">
        <v>81.339</v>
      </c>
      <c r="H10" s="4" t="n">
        <v>1173</v>
      </c>
      <c r="I10" t="n">
        <v>53</v>
      </c>
      <c r="J10" t="n">
        <v>2034</v>
      </c>
      <c r="K10" t="n">
        <v>22.91</v>
      </c>
    </row>
    <row r="11">
      <c r="A11" s="4" t="inlineStr">
        <is>
          <t>pre-app-appserver</t>
        </is>
      </c>
      <c r="B11" s="4" t="inlineStr">
        <is>
          <t>PRE</t>
        </is>
      </c>
      <c r="C11" s="4" t="inlineStr">
        <is>
          <t>Tomcat. Patron pre-app-appserver</t>
        </is>
      </c>
      <c r="D11" t="n">
        <v>2704.8</v>
      </c>
      <c r="E11" t="n">
        <v>3.08</v>
      </c>
      <c r="F11" t="n">
        <v>12409938</v>
      </c>
      <c r="G11" s="4" t="n">
        <v>71.62</v>
      </c>
      <c r="H11" s="4" t="n">
        <v>750.15</v>
      </c>
      <c r="I11" t="n">
        <v>19</v>
      </c>
      <c r="J11" t="n">
        <v>1663</v>
      </c>
      <c r="K11" t="n">
        <v>129.84</v>
      </c>
    </row>
    <row r="12">
      <c r="A12" s="4" t="inlineStr">
        <is>
          <t>pre-db-oltp-sessions</t>
        </is>
      </c>
      <c r="B12" s="4" t="inlineStr">
        <is>
          <t>PRE</t>
        </is>
      </c>
      <c r="C12" s="4" t="inlineStr">
        <is>
          <t>OLTP database. Patron pre-bbdd-OLTP database-deltasesiones</t>
        </is>
      </c>
      <c r="D12" t="n">
        <v>6570.4</v>
      </c>
      <c r="E12" t="n">
        <v>3.15</v>
      </c>
      <c r="F12" t="n">
        <v>1702201489</v>
      </c>
      <c r="G12" s="4" t="n">
        <v>77.884</v>
      </c>
      <c r="H12" s="4" t="n">
        <v>28.95</v>
      </c>
      <c r="I12" t="n">
        <v>27</v>
      </c>
      <c r="J12" t="n">
        <v>4339</v>
      </c>
      <c r="K12" t="n">
        <v>103.9</v>
      </c>
    </row>
    <row r="13">
      <c r="A13" s="4" t="inlineStr">
        <is>
          <t>pre-app-stats-engine</t>
        </is>
      </c>
      <c r="B13" s="4" t="inlineStr">
        <is>
          <t>PRE</t>
        </is>
      </c>
      <c r="C13" s="4" t="inlineStr">
        <is>
          <t>stats engine, estadisticas. Patron pre-app-stats engine-estadisticas</t>
        </is>
      </c>
      <c r="D13" t="n">
        <v>1350.4</v>
      </c>
      <c r="E13" t="n">
        <v>0.365</v>
      </c>
      <c r="F13" t="n">
        <v>438807806</v>
      </c>
      <c r="G13" s="4" t="n">
        <v>27.512</v>
      </c>
      <c r="H13" s="4" t="n">
        <v>887.7</v>
      </c>
      <c r="I13" t="n">
        <v>14</v>
      </c>
      <c r="J13" t="n">
        <v>1830</v>
      </c>
      <c r="K13" t="n">
        <v>254.33</v>
      </c>
    </row>
    <row r="14">
      <c r="A14" s="4" t="inlineStr">
        <is>
          <t>pre-app-partners</t>
        </is>
      </c>
      <c r="B14" s="4" t="inlineStr">
        <is>
          <t>PRE</t>
        </is>
      </c>
      <c r="C14" s="4" t="inlineStr">
        <is>
          <t>partners. Patron pre-app-partners</t>
        </is>
      </c>
      <c r="D14" t="n">
        <v>6998.4</v>
      </c>
      <c r="E14" t="n">
        <v>3.809</v>
      </c>
      <c r="F14" t="n">
        <v>652406738</v>
      </c>
      <c r="G14" s="4" t="n">
        <v>115.32</v>
      </c>
      <c r="H14" s="4" t="n">
        <v>65.25</v>
      </c>
      <c r="I14" t="n">
        <v>16</v>
      </c>
      <c r="J14" t="n">
        <v>90</v>
      </c>
      <c r="K14" t="n">
        <v>310.54</v>
      </c>
    </row>
    <row r="15">
      <c r="A15" s="4" t="inlineStr">
        <is>
          <t>pre-k8s-cloud-applogs-30d</t>
        </is>
      </c>
      <c r="B15" s="4" t="inlineStr">
        <is>
          <t>PRE</t>
        </is>
      </c>
      <c r="C15" s="4" t="inlineStr">
        <is>
          <t>logs de aplicacion Kubernetes, Azure. Patron pre-k8s-azure-applogs-30</t>
        </is>
      </c>
      <c r="D15" t="n">
        <v>292.8</v>
      </c>
      <c r="E15" t="n">
        <v>0.71</v>
      </c>
      <c r="F15" t="n">
        <v>782606087</v>
      </c>
      <c r="G15" s="4" t="n">
        <v>28.58</v>
      </c>
      <c r="H15" s="4" t="n">
        <v>1323.3</v>
      </c>
      <c r="I15" t="n">
        <v>14</v>
      </c>
      <c r="J15" t="n">
        <v>791</v>
      </c>
      <c r="K15" t="n">
        <v>302.44</v>
      </c>
    </row>
    <row r="16">
      <c r="A16" s="4" t="inlineStr">
        <is>
          <t>.ds-logs-logstash-pre</t>
        </is>
      </c>
      <c r="B16" s="4" t="inlineStr">
        <is>
          <t>PRE</t>
        </is>
      </c>
      <c r="C16" s="4" t="inlineStr">
        <is>
          <t>Data stream, Logstash. Patron .ds-logs-logstash-pre</t>
        </is>
      </c>
      <c r="D16" t="n">
        <v>6941.6</v>
      </c>
      <c r="E16" t="n">
        <v>0.947</v>
      </c>
      <c r="F16" t="n">
        <v>1178604107</v>
      </c>
      <c r="G16" s="4" t="n">
        <v>36.055</v>
      </c>
      <c r="H16" s="4" t="n">
        <v>1017.6</v>
      </c>
      <c r="I16" t="n">
        <v>27</v>
      </c>
      <c r="J16" t="n">
        <v>2787.5</v>
      </c>
      <c r="K16" t="n">
        <v>122.85</v>
      </c>
    </row>
    <row r="17">
      <c r="A17" s="4" t="inlineStr">
        <is>
          <t>pre-db-oltp</t>
        </is>
      </c>
      <c r="B17" s="4" t="inlineStr">
        <is>
          <t>PRE</t>
        </is>
      </c>
      <c r="C17" s="4" t="inlineStr">
        <is>
          <t>OLTP database. Patron pre-bbdd-OLTP database</t>
        </is>
      </c>
      <c r="D17" t="n">
        <v>1837.6</v>
      </c>
      <c r="E17" t="n">
        <v>2.034</v>
      </c>
      <c r="F17" t="n">
        <v>1902800486</v>
      </c>
      <c r="G17" s="4" t="n">
        <v>66.892</v>
      </c>
      <c r="H17" s="4" t="n">
        <v>1387.65</v>
      </c>
      <c r="I17" t="n">
        <v>58</v>
      </c>
      <c r="J17" t="n">
        <v>1553</v>
      </c>
      <c r="K17" t="n">
        <v>4.23</v>
      </c>
    </row>
    <row r="18">
      <c r="A18" s="4" t="inlineStr">
        <is>
          <t>pre-app-public-web</t>
        </is>
      </c>
      <c r="B18" s="4" t="inlineStr">
        <is>
          <t>PRE</t>
        </is>
      </c>
      <c r="C18" s="4" t="inlineStr">
        <is>
          <t>web publica. Patron pre-app-public-web</t>
        </is>
      </c>
      <c r="D18" t="n">
        <v>7649.6</v>
      </c>
      <c r="E18" t="n">
        <v>3.52</v>
      </c>
      <c r="F18" t="n">
        <v>1716601417</v>
      </c>
      <c r="G18" s="4" t="n">
        <v>118.92</v>
      </c>
      <c r="H18" s="4" t="n">
        <v>1180.8</v>
      </c>
      <c r="I18" t="n">
        <v>60</v>
      </c>
      <c r="J18" t="n">
        <v>1307</v>
      </c>
      <c r="K18" t="n">
        <v>278.15</v>
      </c>
    </row>
    <row r="19">
      <c r="A19" s="4" t="inlineStr">
        <is>
          <t>.ds-logs-pre-apps-ret7</t>
        </is>
      </c>
      <c r="B19" s="4" t="inlineStr">
        <is>
          <t>PRE</t>
        </is>
      </c>
      <c r="C19" s="4" t="inlineStr">
        <is>
          <t>Data stream. Patron .ds-logs-pre-apps-ret7</t>
        </is>
      </c>
      <c r="D19" t="n">
        <v>758.4</v>
      </c>
      <c r="E19" t="n">
        <v>1.378</v>
      </c>
      <c r="F19" t="n">
        <v>517807411</v>
      </c>
      <c r="G19" s="4" t="n">
        <v>99.70999999999999</v>
      </c>
      <c r="H19" s="4" t="n">
        <v>971.4</v>
      </c>
      <c r="I19" t="n">
        <v>30</v>
      </c>
      <c r="J19" t="n">
        <v>3028.5</v>
      </c>
      <c r="K19" t="n">
        <v>76.17</v>
      </c>
    </row>
    <row r="20">
      <c r="A20" s="4" t="inlineStr">
        <is>
          <t>logstash</t>
        </is>
      </c>
      <c r="B20" s="4" t="inlineStr">
        <is>
          <t>PRE</t>
        </is>
      </c>
      <c r="C20" s="4" t="inlineStr">
        <is>
          <t>Logstash. Patron logstash</t>
        </is>
      </c>
      <c r="D20" t="n">
        <v>1096.8</v>
      </c>
      <c r="E20" t="n">
        <v>0.751</v>
      </c>
      <c r="F20" t="n">
        <v>691806541</v>
      </c>
      <c r="G20" s="4" t="n">
        <v>15.273</v>
      </c>
      <c r="H20" s="4" t="n">
        <v>1264.95</v>
      </c>
      <c r="I20" t="n">
        <v>8</v>
      </c>
      <c r="J20" t="n">
        <v>1697.5</v>
      </c>
      <c r="K20" t="n">
        <v>251.13</v>
      </c>
    </row>
    <row r="21">
      <c r="A21" s="4" t="inlineStr">
        <is>
          <t>pre-network-dns</t>
        </is>
      </c>
      <c r="B21" s="4" t="inlineStr">
        <is>
          <t>PRE</t>
        </is>
      </c>
      <c r="C21" s="4" t="inlineStr">
        <is>
          <t>Familia de indices. Patron pre-network-dns</t>
        </is>
      </c>
      <c r="D21" t="n">
        <v>182.4</v>
      </c>
      <c r="E21" t="n">
        <v>0.194</v>
      </c>
      <c r="F21" t="n">
        <v>347808261</v>
      </c>
      <c r="G21" s="4" t="n">
        <v>45.258</v>
      </c>
      <c r="H21" s="4" t="n">
        <v>851.85</v>
      </c>
      <c r="I21" t="n">
        <v>74</v>
      </c>
      <c r="J21" t="n">
        <v>4046.5</v>
      </c>
      <c r="K21" t="n">
        <v>39.06</v>
      </c>
    </row>
    <row r="22">
      <c r="A22" s="4" t="inlineStr">
        <is>
          <t>pre-infra-filestats</t>
        </is>
      </c>
      <c r="B22" s="4" t="inlineStr">
        <is>
          <t>PRE</t>
        </is>
      </c>
      <c r="C22" s="4" t="inlineStr">
        <is>
          <t>NFS. Patron pre-infra-filestats</t>
        </is>
      </c>
      <c r="D22" t="n">
        <v>3460</v>
      </c>
      <c r="E22" t="n">
        <v>3.863</v>
      </c>
      <c r="F22" t="n">
        <v>72409638</v>
      </c>
      <c r="G22" s="4" t="n">
        <v>10.065</v>
      </c>
      <c r="H22" s="4" t="n">
        <v>949.65</v>
      </c>
      <c r="I22" t="n">
        <v>25</v>
      </c>
      <c r="J22" t="n">
        <v>2104</v>
      </c>
      <c r="K22" t="n">
        <v>242.55</v>
      </c>
    </row>
    <row r="23">
      <c r="A23" s="4" t="inlineStr">
        <is>
          <t>.ds-filebeat-sample</t>
        </is>
      </c>
      <c r="B23" s="4" t="inlineStr">
        <is>
          <t>PRE</t>
        </is>
      </c>
      <c r="C23" s="4" t="inlineStr">
        <is>
          <t>Data stream, Filebeat. Patron .ds-filebeat-sample</t>
        </is>
      </c>
      <c r="D23" t="n">
        <v>7904.8</v>
      </c>
      <c r="E23" t="n">
        <v>2.683</v>
      </c>
      <c r="F23" t="n">
        <v>1945800271</v>
      </c>
      <c r="G23" s="4" t="n">
        <v>80.535</v>
      </c>
      <c r="H23" s="4" t="n">
        <v>266.85</v>
      </c>
      <c r="I23" t="n">
        <v>55</v>
      </c>
      <c r="J23" t="n">
        <v>3190.5</v>
      </c>
      <c r="K23" t="n">
        <v>365.21</v>
      </c>
    </row>
    <row r="24">
      <c r="A24" s="4" t="inlineStr">
        <is>
          <t>pre-apps-dev</t>
        </is>
      </c>
      <c r="B24" s="4" t="inlineStr">
        <is>
          <t>PRE</t>
        </is>
      </c>
      <c r="C24" s="4" t="inlineStr">
        <is>
          <t>Familia de indices. Patron pre-apps-dev</t>
        </is>
      </c>
      <c r="D24" t="n">
        <v>974.4</v>
      </c>
      <c r="E24" t="n">
        <v>1.743</v>
      </c>
      <c r="F24" t="n">
        <v>429007855</v>
      </c>
      <c r="G24" s="4" t="n">
        <v>106.477</v>
      </c>
      <c r="H24" s="4" t="n">
        <v>254.25</v>
      </c>
      <c r="I24" t="n">
        <v>30</v>
      </c>
      <c r="J24" t="n">
        <v>2707.5</v>
      </c>
      <c r="K24" t="n">
        <v>313.58</v>
      </c>
    </row>
    <row r="25">
      <c r="A25" s="4" t="inlineStr">
        <is>
          <t>Other PRE below threshold</t>
        </is>
      </c>
      <c r="B25" s="4" t="inlineStr">
        <is>
          <t>PRE</t>
        </is>
      </c>
      <c r="C25" s="4" t="inlineStr">
        <is>
          <t>Suma medida de 21 familias con menos de 0,05 GB, menos de 100000 documentos y menos de 0,05 eventos/s. No es una integracion.</t>
        </is>
      </c>
      <c r="D25" t="n">
        <v>2189.6</v>
      </c>
      <c r="E25" t="n">
        <v>2.105</v>
      </c>
      <c r="F25" t="n">
        <v>565607172</v>
      </c>
      <c r="G25" s="4" t="n">
        <v>5.086</v>
      </c>
      <c r="H25" s="4" t="n">
        <v>350.55</v>
      </c>
      <c r="I25" t="n">
        <v>58</v>
      </c>
      <c r="J25" t="n">
        <v>29</v>
      </c>
      <c r="K25" t="n">
        <v>183.34</v>
      </c>
    </row>
    <row r="26">
      <c r="A26" s="4" t="inlineStr">
        <is>
          <t>.ds-metrics-fleet_server.agent_versions-default</t>
        </is>
      </c>
      <c r="B26" s="4" t="inlineStr">
        <is>
          <t>PRE</t>
        </is>
      </c>
      <c r="C26" s="4" t="inlineStr">
        <is>
          <t>Data stream, metricas, Fleet. Patron .ds-metrics-fleet_server.agent_versions-default</t>
        </is>
      </c>
      <c r="D26" t="n">
        <v>5309.6</v>
      </c>
      <c r="E26" t="n">
        <v>2.836</v>
      </c>
      <c r="F26" t="n">
        <v>224808876</v>
      </c>
      <c r="G26" s="4" t="n">
        <v>45.942</v>
      </c>
      <c r="H26" s="4" t="n">
        <v>1484.55</v>
      </c>
      <c r="I26" t="n">
        <v>69</v>
      </c>
      <c r="J26" t="n">
        <v>2792.5</v>
      </c>
      <c r="K26" t="n">
        <v>97.40000000000001</v>
      </c>
    </row>
    <row r="27">
      <c r="A27" s="4" t="inlineStr">
        <is>
          <t>.ds-metrics-fleet_server.agent_status-default</t>
        </is>
      </c>
      <c r="B27" s="4" t="inlineStr">
        <is>
          <t>PRE</t>
        </is>
      </c>
      <c r="C27" s="4" t="inlineStr">
        <is>
          <t>Data stream, metricas, Fleet. Patron .ds-metrics-fleet_server.agent_status-default</t>
        </is>
      </c>
      <c r="D27" t="n">
        <v>1028</v>
      </c>
      <c r="E27" t="n">
        <v>0.713</v>
      </c>
      <c r="F27" t="n">
        <v>806005970</v>
      </c>
      <c r="G27" s="4" t="n">
        <v>41.191</v>
      </c>
      <c r="H27" s="4" t="n">
        <v>190.35</v>
      </c>
      <c r="I27" t="n">
        <v>2</v>
      </c>
      <c r="J27" t="n">
        <v>1448</v>
      </c>
      <c r="K27" t="n">
        <v>34.72</v>
      </c>
    </row>
    <row r="28">
      <c r="A28" s="4" t="inlineStr">
        <is>
          <t>pro-k8s-cloud-applogs</t>
        </is>
      </c>
      <c r="B28" s="4" t="inlineStr">
        <is>
          <t>PRO</t>
        </is>
      </c>
      <c r="C28" s="4" t="inlineStr">
        <is>
          <t>logs de aplicacion Kubernetes, Azure. Patron pro-k8s-azure-applogs</t>
        </is>
      </c>
      <c r="D28" t="n">
        <v>3758.4</v>
      </c>
      <c r="E28" t="n">
        <v>2.741</v>
      </c>
      <c r="F28" t="n">
        <v>2729504541</v>
      </c>
      <c r="G28" s="4" t="n">
        <v>239.613</v>
      </c>
      <c r="H28" s="4" t="n">
        <v>3121.65</v>
      </c>
      <c r="I28" t="n">
        <v>140</v>
      </c>
      <c r="J28" t="n">
        <v>1304</v>
      </c>
      <c r="K28" t="n">
        <v>94.73</v>
      </c>
    </row>
    <row r="29">
      <c r="A29" s="4" t="inlineStr">
        <is>
          <t>pro-k8s-onprem-applogs</t>
        </is>
      </c>
      <c r="B29" s="4" t="inlineStr">
        <is>
          <t>PRO</t>
        </is>
      </c>
      <c r="C29" s="4" t="inlineStr">
        <is>
          <t>logs de aplicacion Kubernetes, on-prem. Patron pro-k8s-onprem-applogs</t>
        </is>
      </c>
      <c r="D29" t="n">
        <v>1323.2</v>
      </c>
      <c r="E29" t="n">
        <v>3.826</v>
      </c>
      <c r="F29" t="n">
        <v>3770002460</v>
      </c>
      <c r="G29" s="4" t="n">
        <v>243.533</v>
      </c>
      <c r="H29" s="4" t="n">
        <v>2313.45</v>
      </c>
      <c r="I29" t="n">
        <v>62</v>
      </c>
      <c r="J29" t="n">
        <v>3299.5</v>
      </c>
      <c r="K29" t="n">
        <v>328.86</v>
      </c>
    </row>
    <row r="30">
      <c r="A30" s="4" t="inlineStr">
        <is>
          <t>pro-app-stats-engine</t>
        </is>
      </c>
      <c r="B30" s="4" t="inlineStr">
        <is>
          <t>PRO</t>
        </is>
      </c>
      <c r="C30" s="4" t="inlineStr">
        <is>
          <t>stats engine, estadisticas. Patron pro-app-stats engine-estadisticas</t>
        </is>
      </c>
      <c r="D30" t="n">
        <v>6556.8</v>
      </c>
      <c r="E30" t="n">
        <v>2.606</v>
      </c>
      <c r="F30" t="n">
        <v>203009594</v>
      </c>
      <c r="G30" s="4" t="n">
        <v>48.379</v>
      </c>
      <c r="H30" s="4" t="n">
        <v>3825.9</v>
      </c>
      <c r="I30" t="n">
        <v>104</v>
      </c>
      <c r="J30" t="n">
        <v>4821.5</v>
      </c>
      <c r="K30" t="n">
        <v>95.52</v>
      </c>
    </row>
    <row r="31">
      <c r="A31" s="4" t="inlineStr">
        <is>
          <t>pro-k8s-cloud-applogs-30d</t>
        </is>
      </c>
      <c r="B31" s="4" t="inlineStr">
        <is>
          <t>PRO</t>
        </is>
      </c>
      <c r="C31" s="4" t="inlineStr">
        <is>
          <t>logs de aplicacion Kubernetes, Azure. Patron pro-k8s-azure-applogs-30</t>
        </is>
      </c>
      <c r="D31" t="n">
        <v>6011.2</v>
      </c>
      <c r="E31" t="n">
        <v>1.332</v>
      </c>
      <c r="F31" t="n">
        <v>3434003132</v>
      </c>
      <c r="G31" s="4" t="n">
        <v>87.857</v>
      </c>
      <c r="H31" s="4" t="n">
        <v>2121.3</v>
      </c>
      <c r="I31" t="n">
        <v>108</v>
      </c>
      <c r="J31" t="n">
        <v>3875.5</v>
      </c>
      <c r="K31" t="n">
        <v>99.55</v>
      </c>
    </row>
    <row r="32">
      <c r="A32" s="4" t="inlineStr">
        <is>
          <t>pro-db-oltp-joblogs</t>
        </is>
      </c>
      <c r="B32" s="4" t="inlineStr">
        <is>
          <t>PRO</t>
        </is>
      </c>
      <c r="C32" s="4" t="inlineStr">
        <is>
          <t>OLTP database. Patron pro-bbdd-OLTP database-logproejec</t>
        </is>
      </c>
      <c r="D32" t="n">
        <v>1380</v>
      </c>
      <c r="E32" t="n">
        <v>3.927</v>
      </c>
      <c r="F32" t="n">
        <v>1190007620</v>
      </c>
      <c r="G32" s="4" t="n">
        <v>49.429</v>
      </c>
      <c r="H32" s="4" t="n">
        <v>1345.95</v>
      </c>
      <c r="I32" t="n">
        <v>12</v>
      </c>
      <c r="J32" t="n">
        <v>1057.5</v>
      </c>
      <c r="K32" t="n">
        <v>303.8</v>
      </c>
    </row>
    <row r="33">
      <c r="A33" s="4" t="inlineStr">
        <is>
          <t>metricbeat</t>
        </is>
      </c>
      <c r="B33" s="4" t="inlineStr">
        <is>
          <t>PRO</t>
        </is>
      </c>
      <c r="C33" s="4" t="inlineStr">
        <is>
          <t>Metricbeat. Patron metricbeat</t>
        </is>
      </c>
      <c r="D33" t="n">
        <v>5126.4</v>
      </c>
      <c r="E33" t="n">
        <v>2.608</v>
      </c>
      <c r="F33" t="n">
        <v>2593504813</v>
      </c>
      <c r="G33" s="4" t="n">
        <v>24.404</v>
      </c>
      <c r="H33" s="4" t="n">
        <v>88.65000000000001</v>
      </c>
      <c r="I33" t="n">
        <v>147</v>
      </c>
      <c r="J33" t="n">
        <v>2400.5</v>
      </c>
      <c r="K33" t="n">
        <v>325.67</v>
      </c>
    </row>
    <row r="34">
      <c r="A34" s="4" t="inlineStr">
        <is>
          <t>pro-db-oltp</t>
        </is>
      </c>
      <c r="B34" s="4" t="inlineStr">
        <is>
          <t>PRO</t>
        </is>
      </c>
      <c r="C34" s="4" t="inlineStr">
        <is>
          <t>OLTP database. Patron pro-bbdd-OLTP database</t>
        </is>
      </c>
      <c r="D34" t="n">
        <v>104.8</v>
      </c>
      <c r="E34" t="n">
        <v>0.312</v>
      </c>
      <c r="F34" t="n">
        <v>4180001640</v>
      </c>
      <c r="G34" s="4" t="n">
        <v>111.412</v>
      </c>
      <c r="H34" s="4" t="n">
        <v>1861.2</v>
      </c>
      <c r="I34" t="n">
        <v>151</v>
      </c>
      <c r="J34" t="n">
        <v>2768.5</v>
      </c>
      <c r="K34" t="n">
        <v>93.29000000000001</v>
      </c>
    </row>
    <row r="35">
      <c r="A35" s="4" t="inlineStr">
        <is>
          <t>pro-app-appserver</t>
        </is>
      </c>
      <c r="B35" s="4" t="inlineStr">
        <is>
          <t>PRO</t>
        </is>
      </c>
      <c r="C35" s="4" t="inlineStr">
        <is>
          <t>Tomcat. Patron pro-app-appserver</t>
        </is>
      </c>
      <c r="D35" t="n">
        <v>4104.8</v>
      </c>
      <c r="E35" t="n">
        <v>1.868</v>
      </c>
      <c r="F35" t="n">
        <v>2957504085</v>
      </c>
      <c r="G35" s="4" t="n">
        <v>160.025</v>
      </c>
      <c r="H35" s="4" t="n">
        <v>416.7</v>
      </c>
      <c r="I35" t="n">
        <v>151</v>
      </c>
      <c r="J35" t="n">
        <v>2158.5</v>
      </c>
      <c r="K35" t="n">
        <v>217.94</v>
      </c>
    </row>
    <row r="36">
      <c r="A36" s="4" t="inlineStr">
        <is>
          <t>pro-db-oltp-sessions</t>
        </is>
      </c>
      <c r="B36" s="4" t="inlineStr">
        <is>
          <t>PRO</t>
        </is>
      </c>
      <c r="C36" s="4" t="inlineStr">
        <is>
          <t>OLTP database. Patron pro-bbdd-OLTP database-deltasesiones</t>
        </is>
      </c>
      <c r="D36" t="n">
        <v>7263.2</v>
      </c>
      <c r="E36" t="n">
        <v>1.472</v>
      </c>
      <c r="F36" t="n">
        <v>1663506673</v>
      </c>
      <c r="G36" s="4" t="n">
        <v>18.839</v>
      </c>
      <c r="H36" s="4" t="n">
        <v>4231.8</v>
      </c>
      <c r="I36" t="n">
        <v>159</v>
      </c>
      <c r="J36" t="n">
        <v>1925.5</v>
      </c>
      <c r="K36" t="n">
        <v>318.92</v>
      </c>
    </row>
    <row r="37">
      <c r="A37" s="4" t="inlineStr">
        <is>
          <t>pro-app-public-web</t>
        </is>
      </c>
      <c r="B37" s="4" t="inlineStr">
        <is>
          <t>PRO</t>
        </is>
      </c>
      <c r="C37" s="4" t="inlineStr">
        <is>
          <t>web publica. Patron pro-app-public-web</t>
        </is>
      </c>
      <c r="D37" t="n">
        <v>2711.2</v>
      </c>
      <c r="E37" t="n">
        <v>1.887</v>
      </c>
      <c r="F37" t="n">
        <v>2637504725</v>
      </c>
      <c r="G37" s="4" t="n">
        <v>341.67</v>
      </c>
      <c r="H37" s="4" t="n">
        <v>1539.45</v>
      </c>
      <c r="I37" t="n">
        <v>155</v>
      </c>
      <c r="J37" t="n">
        <v>4694.5</v>
      </c>
      <c r="K37" t="n">
        <v>179.75</v>
      </c>
    </row>
    <row r="38">
      <c r="A38" s="4" t="inlineStr">
        <is>
          <t>agr-pro-db-oltp-sessions-1h</t>
        </is>
      </c>
      <c r="B38" s="4" t="inlineStr">
        <is>
          <t>PRO</t>
        </is>
      </c>
      <c r="C38" s="4" t="inlineStr">
        <is>
          <t>OLTP database. Patron agr-pro-bbdd-OLTP database-deltasesiones-online-1h</t>
        </is>
      </c>
      <c r="D38" t="n">
        <v>954.4</v>
      </c>
      <c r="E38" t="n">
        <v>3.806</v>
      </c>
      <c r="F38" t="n">
        <v>2651004698</v>
      </c>
      <c r="G38" s="4" t="n">
        <v>241.363</v>
      </c>
      <c r="H38" s="4" t="n">
        <v>522.9</v>
      </c>
      <c r="I38" t="n">
        <v>41</v>
      </c>
      <c r="J38" t="n">
        <v>3468.5</v>
      </c>
      <c r="K38" t="n">
        <v>288.48</v>
      </c>
    </row>
    <row r="39">
      <c r="A39" s="4" t="inlineStr">
        <is>
          <t>agr-pro-app-stats-engine-1h</t>
        </is>
      </c>
      <c r="B39" s="4" t="inlineStr">
        <is>
          <t>PRO</t>
        </is>
      </c>
      <c r="C39" s="4" t="inlineStr">
        <is>
          <t>stats engine, estadisticas. Patron agr-pro-app-stats engine-estadisticas-online-1h</t>
        </is>
      </c>
      <c r="D39" t="n">
        <v>5364.8</v>
      </c>
      <c r="E39" t="n">
        <v>2.81</v>
      </c>
      <c r="F39" t="n">
        <v>4968000064</v>
      </c>
      <c r="G39" s="4" t="n">
        <v>106.092</v>
      </c>
      <c r="H39" s="4" t="n">
        <v>3390.75</v>
      </c>
      <c r="I39" t="n">
        <v>149</v>
      </c>
      <c r="J39" t="n">
        <v>2121.5</v>
      </c>
      <c r="K39" t="n">
        <v>33.76</v>
      </c>
    </row>
    <row r="40">
      <c r="A40" s="4" t="inlineStr">
        <is>
          <t>pro-infra-filestats</t>
        </is>
      </c>
      <c r="B40" s="4" t="inlineStr">
        <is>
          <t>PRO</t>
        </is>
      </c>
      <c r="C40" s="4" t="inlineStr">
        <is>
          <t>NFS. Patron pro-infra-filestats</t>
        </is>
      </c>
      <c r="D40" t="n">
        <v>2036</v>
      </c>
      <c r="E40" t="n">
        <v>1.952</v>
      </c>
      <c r="F40" t="n">
        <v>76509847</v>
      </c>
      <c r="G40" s="4" t="n">
        <v>33.889</v>
      </c>
      <c r="H40" s="4" t="n">
        <v>596.7</v>
      </c>
      <c r="I40" t="n">
        <v>58</v>
      </c>
      <c r="J40" t="n">
        <v>3642.5</v>
      </c>
      <c r="K40" t="n">
        <v>259.67</v>
      </c>
    </row>
    <row r="41">
      <c r="A41" s="4" t="inlineStr">
        <is>
          <t>.ds-logs-pro-ds-core-policy</t>
        </is>
      </c>
      <c r="B41" s="4" t="inlineStr">
        <is>
          <t>PRO</t>
        </is>
      </c>
      <c r="C41" s="4" t="inlineStr">
        <is>
          <t>Data stream, policy platform. Patron .ds-logs-pro-ds-core-policy platform</t>
        </is>
      </c>
      <c r="D41" t="n">
        <v>8.800000000000001</v>
      </c>
      <c r="E41" t="n">
        <v>1.44</v>
      </c>
      <c r="F41" t="n">
        <v>1279007442</v>
      </c>
      <c r="G41" s="4" t="n">
        <v>323.541</v>
      </c>
      <c r="H41" s="4" t="n">
        <v>1102.95</v>
      </c>
      <c r="I41" t="n">
        <v>123</v>
      </c>
      <c r="J41" t="n">
        <v>4037.5</v>
      </c>
      <c r="K41" t="n">
        <v>210.08</v>
      </c>
    </row>
    <row r="42">
      <c r="A42" s="4" t="inlineStr">
        <is>
          <t>pro-network-loadbalancer</t>
        </is>
      </c>
      <c r="B42" s="4" t="inlineStr">
        <is>
          <t>PRO</t>
        </is>
      </c>
      <c r="C42" s="4" t="inlineStr">
        <is>
          <t>balanceador. Patron pro-network-loadbalancer</t>
        </is>
      </c>
      <c r="D42" t="n">
        <v>7953.6</v>
      </c>
      <c r="E42" t="n">
        <v>1.372</v>
      </c>
      <c r="F42" t="n">
        <v>4724500551</v>
      </c>
      <c r="G42" s="4" t="n">
        <v>243.603</v>
      </c>
      <c r="H42" s="4" t="n">
        <v>4331.25</v>
      </c>
      <c r="I42" t="n">
        <v>92</v>
      </c>
      <c r="J42" t="n">
        <v>3821</v>
      </c>
      <c r="K42" t="n">
        <v>97.84</v>
      </c>
    </row>
    <row r="43">
      <c r="A43" s="4" t="inlineStr">
        <is>
          <t>pro-app-httpd</t>
        </is>
      </c>
      <c r="B43" s="4" t="inlineStr">
        <is>
          <t>PRO</t>
        </is>
      </c>
      <c r="C43" s="4" t="inlineStr">
        <is>
          <t>HTTP. Patron pro-app-httpd</t>
        </is>
      </c>
      <c r="D43" t="n">
        <v>5842.4</v>
      </c>
      <c r="E43" t="n">
        <v>1.412</v>
      </c>
      <c r="F43" t="n">
        <v>4255001490</v>
      </c>
      <c r="G43" s="4" t="n">
        <v>28.814</v>
      </c>
      <c r="H43" s="4" t="n">
        <v>4148.55</v>
      </c>
      <c r="I43" t="n">
        <v>96</v>
      </c>
      <c r="J43" t="n">
        <v>2677</v>
      </c>
      <c r="K43" t="n">
        <v>343.78</v>
      </c>
    </row>
    <row r="44">
      <c r="A44" s="4" t="inlineStr">
        <is>
          <t>pro-k8s-onprem-applogs-sso</t>
        </is>
      </c>
      <c r="B44" s="4" t="inlineStr">
        <is>
          <t>PRO</t>
        </is>
      </c>
      <c r="C44" s="4" t="inlineStr">
        <is>
          <t>logs de aplicacion Kubernetes, on-prem. Patron pro-k8s-onprem-applogs-sso</t>
        </is>
      </c>
      <c r="D44" t="n">
        <v>305.6</v>
      </c>
      <c r="E44" t="n">
        <v>3.882</v>
      </c>
      <c r="F44" t="n">
        <v>1329007342</v>
      </c>
      <c r="G44" s="4" t="n">
        <v>177.91</v>
      </c>
      <c r="H44" s="4" t="n">
        <v>129.6</v>
      </c>
      <c r="I44" t="n">
        <v>80</v>
      </c>
      <c r="J44" t="n">
        <v>1668.5</v>
      </c>
      <c r="K44" t="n">
        <v>228.23</v>
      </c>
    </row>
    <row r="45">
      <c r="A45" s="4" t="inlineStr">
        <is>
          <t>pro-batch-scheduler-status</t>
        </is>
      </c>
      <c r="B45" s="4" t="inlineStr">
        <is>
          <t>PRO</t>
        </is>
      </c>
      <c r="C45" s="4" t="inlineStr">
        <is>
          <t>batch scheduler. Patron pro-batch-scheduler-status</t>
        </is>
      </c>
      <c r="D45" t="n">
        <v>5578.4</v>
      </c>
      <c r="E45" t="n">
        <v>0.604</v>
      </c>
      <c r="F45" t="n">
        <v>4644500711</v>
      </c>
      <c r="G45" s="4" t="n">
        <v>299.566</v>
      </c>
      <c r="H45" s="4" t="n">
        <v>4276.35</v>
      </c>
      <c r="I45" t="n">
        <v>70</v>
      </c>
      <c r="J45" t="n">
        <v>2243.5</v>
      </c>
      <c r="K45" t="n">
        <v>209.88</v>
      </c>
    </row>
    <row r="46">
      <c r="A46" s="4" t="inlineStr">
        <is>
          <t>pro-batch-scheduler-running</t>
        </is>
      </c>
      <c r="B46" s="4" t="inlineStr">
        <is>
          <t>PRO</t>
        </is>
      </c>
      <c r="C46" s="4" t="inlineStr">
        <is>
          <t>batch scheduler. Patron pro-batch-scheduler-running</t>
        </is>
      </c>
      <c r="D46" t="n">
        <v>1005.6</v>
      </c>
      <c r="E46" t="n">
        <v>2.605</v>
      </c>
      <c r="F46" t="n">
        <v>2425505149</v>
      </c>
      <c r="G46" s="4" t="n">
        <v>324.731</v>
      </c>
      <c r="H46" s="4" t="n">
        <v>382.05</v>
      </c>
      <c r="I46" t="n">
        <v>193</v>
      </c>
      <c r="J46" t="n">
        <v>2565.5</v>
      </c>
      <c r="K46" t="n">
        <v>188.45</v>
      </c>
    </row>
    <row r="47">
      <c r="A47" s="4" t="inlineStr">
        <is>
          <t>pro-infra-webcheck</t>
        </is>
      </c>
      <c r="B47" s="4" t="inlineStr">
        <is>
          <t>PRO</t>
        </is>
      </c>
      <c r="C47" s="4" t="inlineStr">
        <is>
          <t>checks. Patron pro-infra-webcheck</t>
        </is>
      </c>
      <c r="D47" t="n">
        <v>6803.2</v>
      </c>
      <c r="E47" t="n">
        <v>3.706</v>
      </c>
      <c r="F47" t="n">
        <v>1728506543</v>
      </c>
      <c r="G47" s="4" t="n">
        <v>96.152</v>
      </c>
      <c r="H47" s="4" t="n">
        <v>4340.7</v>
      </c>
      <c r="I47" t="n">
        <v>68</v>
      </c>
      <c r="J47" t="n">
        <v>1165.5</v>
      </c>
      <c r="K47" t="n">
        <v>389.59</v>
      </c>
    </row>
    <row r="48">
      <c r="A48" s="4" t="inlineStr">
        <is>
          <t>pro-apps-dev</t>
        </is>
      </c>
      <c r="B48" s="4" t="inlineStr">
        <is>
          <t>PRO</t>
        </is>
      </c>
      <c r="C48" s="4" t="inlineStr">
        <is>
          <t>Familia de indices. Patron pro-apps-dev</t>
        </is>
      </c>
      <c r="D48" t="n">
        <v>5276</v>
      </c>
      <c r="E48" t="n">
        <v>3.598</v>
      </c>
      <c r="F48" t="n">
        <v>2730004540</v>
      </c>
      <c r="G48" s="4" t="n">
        <v>17.3</v>
      </c>
      <c r="H48" s="4" t="n">
        <v>3396.15</v>
      </c>
      <c r="I48" t="n">
        <v>82</v>
      </c>
      <c r="J48" t="n">
        <v>2505</v>
      </c>
      <c r="K48" t="n">
        <v>307.15</v>
      </c>
    </row>
    <row r="49">
      <c r="A49" s="4" t="inlineStr">
        <is>
          <t>pro-app-test-db</t>
        </is>
      </c>
      <c r="B49" s="4" t="inlineStr">
        <is>
          <t>PRO</t>
        </is>
      </c>
      <c r="C49" s="4" t="inlineStr">
        <is>
          <t>Familia de indices. Patron pro-app-test-db</t>
        </is>
      </c>
      <c r="D49" t="n">
        <v>5209.6</v>
      </c>
      <c r="E49" t="n">
        <v>2.27</v>
      </c>
      <c r="F49" t="n">
        <v>4152501695</v>
      </c>
      <c r="G49" s="4" t="n">
        <v>33.259</v>
      </c>
      <c r="H49" s="4" t="n">
        <v>1593.45</v>
      </c>
      <c r="I49" t="n">
        <v>167</v>
      </c>
      <c r="J49" t="n">
        <v>3517.5</v>
      </c>
      <c r="K49" t="n">
        <v>52.27</v>
      </c>
    </row>
    <row r="50">
      <c r="A50" s="4" t="inlineStr">
        <is>
          <t>pro-db-oltp-memory</t>
        </is>
      </c>
      <c r="B50" s="4" t="inlineStr">
        <is>
          <t>PRO</t>
        </is>
      </c>
      <c r="C50" s="4" t="inlineStr">
        <is>
          <t>OLTP database. Patron pro-bbdd-OLTP database-memoria</t>
        </is>
      </c>
      <c r="D50" t="n">
        <v>1996.8</v>
      </c>
      <c r="E50" t="n">
        <v>3.374</v>
      </c>
      <c r="F50" t="n">
        <v>4204501591</v>
      </c>
      <c r="G50" s="4" t="n">
        <v>166.955</v>
      </c>
      <c r="H50" s="4" t="n">
        <v>1432.35</v>
      </c>
      <c r="I50" t="n">
        <v>108</v>
      </c>
      <c r="J50" t="n">
        <v>3787</v>
      </c>
      <c r="K50" t="n">
        <v>295.42</v>
      </c>
    </row>
    <row r="51">
      <c r="A51" s="4" t="inlineStr">
        <is>
          <t>pro-db-oltp-lockwaits</t>
        </is>
      </c>
      <c r="B51" s="4" t="inlineStr">
        <is>
          <t>PRO</t>
        </is>
      </c>
      <c r="C51" s="4" t="inlineStr">
        <is>
          <t>OLTP database. Patron pro-bbdd-OLTP database-lockwaits</t>
        </is>
      </c>
      <c r="D51" t="n">
        <v>7277.6</v>
      </c>
      <c r="E51" t="n">
        <v>0.466</v>
      </c>
      <c r="F51" t="n">
        <v>1981006038</v>
      </c>
      <c r="G51" s="4" t="n">
        <v>39.594</v>
      </c>
      <c r="H51" s="4" t="n">
        <v>1105.2</v>
      </c>
      <c r="I51" t="n">
        <v>158</v>
      </c>
      <c r="J51" t="n">
        <v>4615</v>
      </c>
      <c r="K51" t="n">
        <v>319.4</v>
      </c>
    </row>
    <row r="52">
      <c r="A52" s="4" t="inlineStr">
        <is>
          <t>pro-network-switches</t>
        </is>
      </c>
      <c r="B52" s="4" t="inlineStr">
        <is>
          <t>PRO</t>
        </is>
      </c>
      <c r="C52" s="4" t="inlineStr">
        <is>
          <t>Familia de indices. Patron pro-network-switches</t>
        </is>
      </c>
      <c r="D52" t="n">
        <v>2217.6</v>
      </c>
      <c r="E52" t="n">
        <v>1.708</v>
      </c>
      <c r="F52" t="n">
        <v>4686500627</v>
      </c>
      <c r="G52" s="4" t="n">
        <v>52.683</v>
      </c>
      <c r="H52" s="4" t="n">
        <v>3878.55</v>
      </c>
      <c r="I52" t="n">
        <v>199</v>
      </c>
      <c r="J52" t="n">
        <v>1932</v>
      </c>
      <c r="K52" t="n">
        <v>384.52</v>
      </c>
    </row>
    <row r="53">
      <c r="A53" s="4" t="inlineStr">
        <is>
          <t>.ds-logs-elastic_agent.fleet_server-default</t>
        </is>
      </c>
      <c r="B53" s="4" t="inlineStr">
        <is>
          <t>PRO</t>
        </is>
      </c>
      <c r="C53" s="4" t="inlineStr">
        <is>
          <t>Data stream, Fleet. Patron .ds-logs-elastic_agent.fleet_server-default</t>
        </is>
      </c>
      <c r="D53" t="n">
        <v>3065.6</v>
      </c>
      <c r="E53" t="n">
        <v>1.98</v>
      </c>
      <c r="F53" t="n">
        <v>267009466</v>
      </c>
      <c r="G53" s="4" t="n">
        <v>226.979</v>
      </c>
      <c r="H53" s="4" t="n">
        <v>507.6</v>
      </c>
      <c r="I53" t="n">
        <v>51</v>
      </c>
      <c r="J53" t="n">
        <v>4647.5</v>
      </c>
      <c r="K53" t="n">
        <v>249.22</v>
      </c>
    </row>
    <row r="54">
      <c r="A54" s="4" t="inlineStr">
        <is>
          <t>Other PRO below threshold</t>
        </is>
      </c>
      <c r="B54" s="4" t="inlineStr">
        <is>
          <t>PRO</t>
        </is>
      </c>
      <c r="C54" s="4" t="inlineStr">
        <is>
          <t>Suma medida de 65 familias con menos de 0,05 GB, menos de 100000 documentos y menos de 0,05 eventos/s. No es una integracion.</t>
        </is>
      </c>
      <c r="D54" t="n">
        <v>108</v>
      </c>
      <c r="E54" t="n">
        <v>3.414</v>
      </c>
      <c r="F54" t="n">
        <v>3566502867</v>
      </c>
      <c r="G54" s="4" t="n">
        <v>284.412</v>
      </c>
      <c r="H54" s="4" t="n">
        <v>3164.85</v>
      </c>
      <c r="I54" t="n">
        <v>12</v>
      </c>
      <c r="J54" t="n">
        <v>4485</v>
      </c>
      <c r="K54" t="n">
        <v>210.16</v>
      </c>
    </row>
    <row r="55">
      <c r="A55" s="4" t="inlineStr">
        <is>
          <t>pro-network-dns</t>
        </is>
      </c>
      <c r="B55" s="4" t="inlineStr">
        <is>
          <t>PRO</t>
        </is>
      </c>
      <c r="C55" s="4" t="inlineStr">
        <is>
          <t>Familia de indices. Patron pro-network-dns</t>
        </is>
      </c>
      <c r="D55" t="n">
        <v>6693.6</v>
      </c>
      <c r="E55" t="n">
        <v>0.52</v>
      </c>
      <c r="F55" t="n">
        <v>3050003900</v>
      </c>
      <c r="G55" s="4" t="n">
        <v>137.626</v>
      </c>
      <c r="H55" s="4" t="n">
        <v>374.85</v>
      </c>
      <c r="I55" t="n">
        <v>63</v>
      </c>
      <c r="J55" t="n">
        <v>3353</v>
      </c>
      <c r="K55" t="n">
        <v>66.12</v>
      </c>
    </row>
    <row r="56">
      <c r="A56" s="4" t="inlineStr">
        <is>
          <t>logstash</t>
        </is>
      </c>
      <c r="B56" s="4" t="inlineStr">
        <is>
          <t>PRO</t>
        </is>
      </c>
      <c r="C56" s="4" t="inlineStr">
        <is>
          <t>Logstash. Patron logstash</t>
        </is>
      </c>
      <c r="D56" t="n">
        <v>1096.8</v>
      </c>
      <c r="E56" t="n">
        <v>0.751</v>
      </c>
      <c r="F56" t="n">
        <v>1729506541</v>
      </c>
      <c r="G56" s="4" t="n">
        <v>44.529</v>
      </c>
      <c r="H56" s="4" t="n">
        <v>3794.85</v>
      </c>
      <c r="I56" t="n">
        <v>17</v>
      </c>
      <c r="J56" t="n">
        <v>1697.5</v>
      </c>
      <c r="K56" t="n">
        <v>251.13</v>
      </c>
    </row>
    <row r="57">
      <c r="A57" s="4" t="inlineStr">
        <is>
          <t>.ds-logs-system.syslog-default</t>
        </is>
      </c>
      <c r="B57" s="4" t="inlineStr">
        <is>
          <t>PRO</t>
        </is>
      </c>
      <c r="C57" s="4" t="inlineStr">
        <is>
          <t>Data stream. Patron .ds-logs-system.syslog-default</t>
        </is>
      </c>
      <c r="D57" t="n">
        <v>2635.2</v>
      </c>
      <c r="E57" t="n">
        <v>0.367</v>
      </c>
      <c r="F57" t="n">
        <v>3983502033</v>
      </c>
      <c r="G57" s="4" t="n">
        <v>328.651</v>
      </c>
      <c r="H57" s="4" t="n">
        <v>4302</v>
      </c>
      <c r="I57" t="n">
        <v>189</v>
      </c>
      <c r="J57" t="n">
        <v>3714.5</v>
      </c>
      <c r="K57" t="n">
        <v>269.45</v>
      </c>
    </row>
    <row r="58">
      <c r="A58" s="4" t="inlineStr">
        <is>
          <t>.internal.alerts-observability.metrics.alerts-default</t>
        </is>
      </c>
      <c r="B58" s="4" t="inlineStr">
        <is>
          <t>PRO</t>
        </is>
      </c>
      <c r="C58" s="4" t="inlineStr">
        <is>
          <t>Indice interno de Elastic. Patron .internal.alerts-observability.metrics.alerts-default</t>
        </is>
      </c>
      <c r="D58" t="n">
        <v>5660</v>
      </c>
      <c r="E58" t="n">
        <v>2.461</v>
      </c>
      <c r="F58" t="n">
        <v>378509243</v>
      </c>
      <c r="G58" s="4" t="n">
        <v>112.112</v>
      </c>
      <c r="H58" s="4" t="n">
        <v>3287.7</v>
      </c>
      <c r="I58" t="n">
        <v>36</v>
      </c>
      <c r="J58" t="n">
        <v>4815.5</v>
      </c>
      <c r="K58" t="n">
        <v>206.33</v>
      </c>
    </row>
    <row r="59">
      <c r="A59" s="4" t="inlineStr">
        <is>
          <t>pro-app-partners</t>
        </is>
      </c>
      <c r="B59" s="4" t="inlineStr">
        <is>
          <t>PRO</t>
        </is>
      </c>
      <c r="C59" s="4" t="inlineStr">
        <is>
          <t>partners. Patron pro-app-partners</t>
        </is>
      </c>
      <c r="D59" t="n">
        <v>1821.6</v>
      </c>
      <c r="E59" t="n">
        <v>2.529</v>
      </c>
      <c r="F59" t="n">
        <v>2638004724</v>
      </c>
      <c r="G59" s="4" t="n">
        <v>96.607</v>
      </c>
      <c r="H59" s="4" t="n">
        <v>3992.4</v>
      </c>
      <c r="I59" t="n">
        <v>85</v>
      </c>
      <c r="J59" t="n">
        <v>2019.5</v>
      </c>
      <c r="K59" t="n">
        <v>332.53</v>
      </c>
    </row>
    <row r="60">
      <c r="A60" s="4" t="inlineStr">
        <is>
          <t>.ds-logs-elastic_agent.filebeat-default</t>
        </is>
      </c>
      <c r="B60" s="4" t="inlineStr">
        <is>
          <t>PRO</t>
        </is>
      </c>
      <c r="C60" s="4" t="inlineStr">
        <is>
          <t>Data stream, Filebeat. Patron .ds-logs-elastic_agent.filebeat-default</t>
        </is>
      </c>
      <c r="D60" t="n">
        <v>2135.2</v>
      </c>
      <c r="E60" t="n">
        <v>2.921</v>
      </c>
      <c r="F60" t="n">
        <v>4480001040</v>
      </c>
      <c r="G60" s="4" t="n">
        <v>136.436</v>
      </c>
      <c r="H60" s="4" t="n">
        <v>4360.05</v>
      </c>
      <c r="I60" t="n">
        <v>47</v>
      </c>
      <c r="J60" t="n">
        <v>4979.5</v>
      </c>
      <c r="K60" t="n">
        <v>156.81</v>
      </c>
    </row>
    <row r="61">
      <c r="A61" s="4" t="inlineStr">
        <is>
          <t>.ds-logs-elastic_agent.metricbeat-default</t>
        </is>
      </c>
      <c r="B61" s="4" t="inlineStr">
        <is>
          <t>PRO</t>
        </is>
      </c>
      <c r="C61" s="4" t="inlineStr">
        <is>
          <t>Data stream, Metricbeat. Patron .ds-logs-elastic_agent.metricbeat-default</t>
        </is>
      </c>
      <c r="D61" t="n">
        <v>6855.2</v>
      </c>
      <c r="E61" t="n">
        <v>3.041</v>
      </c>
      <c r="F61" t="n">
        <v>657008686</v>
      </c>
      <c r="G61" s="4" t="n">
        <v>172.625</v>
      </c>
      <c r="H61" s="4" t="n">
        <v>3449.7</v>
      </c>
      <c r="I61" t="n">
        <v>108</v>
      </c>
      <c r="J61" t="n">
        <v>1859.5</v>
      </c>
      <c r="K61" t="n">
        <v>185.78</v>
      </c>
    </row>
    <row r="62">
      <c r="A62" s="4" t="inlineStr">
        <is>
          <t>.ds-logs-elastic_agent.heartbeat-default</t>
        </is>
      </c>
      <c r="B62" s="4" t="inlineStr">
        <is>
          <t>PRO</t>
        </is>
      </c>
      <c r="C62" s="4" t="inlineStr">
        <is>
          <t>Data stream, checks. Patron .ds-logs-elastic_agent.heartbeat-default</t>
        </is>
      </c>
      <c r="D62" t="n">
        <v>7852</v>
      </c>
      <c r="E62" t="n">
        <v>0.963</v>
      </c>
      <c r="F62" t="n">
        <v>1981006038</v>
      </c>
      <c r="G62" s="4" t="n">
        <v>109.382</v>
      </c>
      <c r="H62" s="4" t="n">
        <v>1420.65</v>
      </c>
      <c r="I62" t="n">
        <v>12</v>
      </c>
      <c r="J62" t="n">
        <v>4150</v>
      </c>
      <c r="K62" t="n">
        <v>302.01</v>
      </c>
    </row>
    <row r="63">
      <c r="A63" s="4" t="inlineStr">
        <is>
          <t>.ds-metrics-fleet_server.agent_versions-default</t>
        </is>
      </c>
      <c r="B63" s="4" t="inlineStr">
        <is>
          <t>PRO</t>
        </is>
      </c>
      <c r="C63" s="4" t="inlineStr">
        <is>
          <t>Data stream, metricas, Fleet. Patron .ds-metrics-fleet_server.agent_versions-default</t>
        </is>
      </c>
      <c r="D63" t="n">
        <v>5309.6</v>
      </c>
      <c r="E63" t="n">
        <v>2.836</v>
      </c>
      <c r="F63" t="n">
        <v>562008876</v>
      </c>
      <c r="G63" s="4" t="n">
        <v>133.986</v>
      </c>
      <c r="H63" s="4" t="n">
        <v>4453.65</v>
      </c>
      <c r="I63" t="n">
        <v>153</v>
      </c>
      <c r="J63" t="n">
        <v>2792.5</v>
      </c>
      <c r="K63" t="n">
        <v>97.40000000000001</v>
      </c>
    </row>
    <row r="64">
      <c r="A64" s="4" t="inlineStr">
        <is>
          <t>.ds-.monitoring-es-sample</t>
        </is>
      </c>
      <c r="B64" s="4" t="inlineStr">
        <is>
          <t>MON</t>
        </is>
      </c>
      <c r="C64" s="4" t="inlineStr">
        <is>
          <t>Stack monitoring, Data stream. Patron .ds-.monitoring-es-sample</t>
        </is>
      </c>
      <c r="D64" t="n">
        <v>44.12</v>
      </c>
      <c r="E64" t="n">
        <v>3.134</v>
      </c>
      <c r="F64" t="n">
        <v>367608162</v>
      </c>
      <c r="G64" s="4" t="n">
        <v>8.58</v>
      </c>
      <c r="H64" s="4" t="n">
        <v>0</v>
      </c>
      <c r="I64" t="n">
        <v>45</v>
      </c>
      <c r="J64" t="n">
        <v>13.85</v>
      </c>
      <c r="K64" t="n">
        <v>145.85</v>
      </c>
    </row>
    <row r="65">
      <c r="A65" s="4" t="inlineStr">
        <is>
          <t>.ds-.monitoring-logstash-sample</t>
        </is>
      </c>
      <c r="B65" s="4" t="inlineStr">
        <is>
          <t>MON</t>
        </is>
      </c>
      <c r="C65" s="4" t="inlineStr">
        <is>
          <t>Stack monitoring, Data stream, Logstash. Patron .ds-.monitoring-logstash-sample</t>
        </is>
      </c>
      <c r="D65" t="n">
        <v>31.18</v>
      </c>
      <c r="E65" t="n">
        <v>3.21</v>
      </c>
      <c r="F65" t="n">
        <v>1772001140</v>
      </c>
      <c r="G65" s="4" t="n">
        <v>3.992</v>
      </c>
      <c r="H65" s="4" t="n">
        <v>0</v>
      </c>
      <c r="I65" t="n">
        <v>89</v>
      </c>
      <c r="J65" t="n">
        <v>15.26</v>
      </c>
      <c r="K65" t="n">
        <v>28.22</v>
      </c>
    </row>
    <row r="66">
      <c r="A66" s="4" t="inlineStr">
        <is>
          <t>.ds-elastic-cloud-logs-sample</t>
        </is>
      </c>
      <c r="B66" s="4" t="inlineStr">
        <is>
          <t>MON</t>
        </is>
      </c>
      <c r="C66" s="4" t="inlineStr">
        <is>
          <t>Stack monitoring, Data stream. Patron .ds-elastic-cloud-logs-sample</t>
        </is>
      </c>
      <c r="D66" t="n">
        <v>10.43</v>
      </c>
      <c r="E66" t="n">
        <v>3.849</v>
      </c>
      <c r="F66" t="n">
        <v>1326203369</v>
      </c>
      <c r="G66" s="4" t="n">
        <v>8.928000000000001</v>
      </c>
      <c r="H66" s="4" t="n">
        <v>0</v>
      </c>
      <c r="I66" t="n">
        <v>47</v>
      </c>
      <c r="J66" t="n">
        <v>11.93</v>
      </c>
      <c r="K66" t="n">
        <v>132.36</v>
      </c>
    </row>
    <row r="67">
      <c r="A67" s="4" t="inlineStr">
        <is>
          <t>.ds-metricbeat-sample-a</t>
        </is>
      </c>
      <c r="B67" s="4" t="inlineStr">
        <is>
          <t>MON</t>
        </is>
      </c>
      <c r="C67" s="4" t="inlineStr">
        <is>
          <t>Data stream, Metricbeat. Patron .ds-metricbeat-sample-a</t>
        </is>
      </c>
      <c r="D67" t="n">
        <v>9.02</v>
      </c>
      <c r="E67" t="n">
        <v>3.276</v>
      </c>
      <c r="F67" t="n">
        <v>1009004955</v>
      </c>
      <c r="G67" s="4" t="n">
        <v>3.744</v>
      </c>
      <c r="H67" s="4" t="n">
        <v>0</v>
      </c>
      <c r="I67" t="n">
        <v>9</v>
      </c>
      <c r="J67" t="n">
        <v>10.82</v>
      </c>
      <c r="K67" t="n">
        <v>43.75</v>
      </c>
    </row>
    <row r="68">
      <c r="A68" s="4" t="inlineStr">
        <is>
          <t>.ds-metricbeat-sample-b</t>
        </is>
      </c>
      <c r="B68" s="4" t="inlineStr">
        <is>
          <t>MON</t>
        </is>
      </c>
      <c r="C68" s="4" t="inlineStr">
        <is>
          <t>Data stream, Metricbeat. Patron .ds-metricbeat-sample-b</t>
        </is>
      </c>
      <c r="D68" t="n">
        <v>1.44</v>
      </c>
      <c r="E68" t="n">
        <v>2.896</v>
      </c>
      <c r="F68" t="n">
        <v>1046804766</v>
      </c>
      <c r="G68" s="4" t="n">
        <v>16.616</v>
      </c>
      <c r="H68" s="4" t="n">
        <v>0</v>
      </c>
      <c r="I68" t="n">
        <v>24</v>
      </c>
      <c r="J68" t="n">
        <v>18.53</v>
      </c>
      <c r="K68" t="n">
        <v>77.06</v>
      </c>
    </row>
    <row r="69">
      <c r="A69" s="4" t="inlineStr">
        <is>
          <t>.ds-metricbeat-sample-c</t>
        </is>
      </c>
      <c r="B69" s="4" t="inlineStr">
        <is>
          <t>MON</t>
        </is>
      </c>
      <c r="C69" s="4" t="inlineStr">
        <is>
          <t>Data stream, Metricbeat. Patron .ds-metricbeat-sample-c</t>
        </is>
      </c>
      <c r="D69" t="n">
        <v>47.95</v>
      </c>
      <c r="E69" t="n">
        <v>1.577</v>
      </c>
      <c r="F69" t="n">
        <v>416607917</v>
      </c>
      <c r="G69" s="4" t="n">
        <v>5.353</v>
      </c>
      <c r="H69" s="4" t="n">
        <v>0</v>
      </c>
      <c r="I69" t="n">
        <v>34</v>
      </c>
      <c r="J69" t="n">
        <v>10.83</v>
      </c>
      <c r="K69" t="n">
        <v>38.25</v>
      </c>
    </row>
    <row r="70">
      <c r="A70" s="4" t="inlineStr">
        <is>
          <t>.ds-metricbeat-sample-d</t>
        </is>
      </c>
      <c r="B70" s="4" t="inlineStr">
        <is>
          <t>MON</t>
        </is>
      </c>
      <c r="C70" s="4" t="inlineStr">
        <is>
          <t>Data stream, Metricbeat. Patron .ds-metricbeat-sample-d</t>
        </is>
      </c>
      <c r="D70" t="n">
        <v>47.06</v>
      </c>
      <c r="E70" t="n">
        <v>0.89</v>
      </c>
      <c r="F70" t="n">
        <v>103609482</v>
      </c>
      <c r="G70" s="4" t="n">
        <v>13.101</v>
      </c>
      <c r="H70" s="4" t="n">
        <v>0</v>
      </c>
      <c r="I70" t="n">
        <v>23</v>
      </c>
      <c r="J70" t="n">
        <v>13.63</v>
      </c>
      <c r="K70" t="n">
        <v>51.88</v>
      </c>
    </row>
    <row r="71">
      <c r="A71" s="4" t="inlineStr">
        <is>
          <t>.ds-metricbeat-sample-e</t>
        </is>
      </c>
      <c r="B71" s="4" t="inlineStr">
        <is>
          <t>MON</t>
        </is>
      </c>
      <c r="C71" s="4" t="inlineStr">
        <is>
          <t>Data stream, Metricbeat. Patron .ds-metricbeat-sample-e</t>
        </is>
      </c>
      <c r="D71" t="n">
        <v>11.24</v>
      </c>
      <c r="E71" t="n">
        <v>3.113</v>
      </c>
      <c r="F71" t="n">
        <v>42409788</v>
      </c>
      <c r="G71" s="4" t="n">
        <v>1.267</v>
      </c>
      <c r="H71" s="4" t="n">
        <v>0</v>
      </c>
      <c r="I71" t="n">
        <v>49</v>
      </c>
      <c r="J71" t="n">
        <v>9.550000000000001</v>
      </c>
      <c r="K71" t="n">
        <v>138.89</v>
      </c>
    </row>
    <row r="72">
      <c r="A72" s="4" t="inlineStr">
        <is>
          <t>.ds-.monitoring-kibana-sample</t>
        </is>
      </c>
      <c r="B72" s="4" t="inlineStr">
        <is>
          <t>MON</t>
        </is>
      </c>
      <c r="C72" s="4" t="inlineStr">
        <is>
          <t>Stack monitoring, Data stream, Kibana. Patron .ds-.monitoring-kibana-sample</t>
        </is>
      </c>
      <c r="D72" t="n">
        <v>48.55</v>
      </c>
      <c r="E72" t="n">
        <v>2.337</v>
      </c>
      <c r="F72" t="n">
        <v>1648201759</v>
      </c>
      <c r="G72" s="4" t="n">
        <v>8.304</v>
      </c>
      <c r="H72" s="4" t="n">
        <v>0</v>
      </c>
      <c r="I72" t="n">
        <v>60</v>
      </c>
      <c r="J72" t="n">
        <v>13.15</v>
      </c>
      <c r="K72" t="n">
        <v>113.53</v>
      </c>
    </row>
    <row r="73">
      <c r="A73" s="4" t="inlineStr">
        <is>
          <t>.ds-.monitoring-beats-sample</t>
        </is>
      </c>
      <c r="B73" s="4" t="inlineStr">
        <is>
          <t>MON</t>
        </is>
      </c>
      <c r="C73" s="4" t="inlineStr">
        <is>
          <t>Stack monitoring, Data stream. Patron .ds-.monitoring-beats-sample</t>
        </is>
      </c>
      <c r="D73" t="n">
        <v>20.67</v>
      </c>
      <c r="E73" t="n">
        <v>0.205</v>
      </c>
      <c r="F73" t="n">
        <v>344808276</v>
      </c>
      <c r="G73" s="4" t="n">
        <v>15.892</v>
      </c>
      <c r="H73" s="4" t="n">
        <v>0</v>
      </c>
      <c r="I73" t="n">
        <v>86</v>
      </c>
      <c r="J73" t="n">
        <v>17.44</v>
      </c>
      <c r="K73" t="n">
        <v>37.68</v>
      </c>
    </row>
    <row r="74">
      <c r="A74" s="4" t="inlineStr">
        <is>
          <t>.ds-logs-elastic_agent.filebeat-default</t>
        </is>
      </c>
      <c r="B74" s="4" t="inlineStr">
        <is>
          <t>MON</t>
        </is>
      </c>
      <c r="C74" s="4" t="inlineStr">
        <is>
          <t>Data stream, Filebeat. Patron .ds-logs-elastic_agent.filebeat-default</t>
        </is>
      </c>
      <c r="D74" t="n">
        <v>13.35</v>
      </c>
      <c r="E74" t="n">
        <v>2.921</v>
      </c>
      <c r="F74" t="n">
        <v>1792001040</v>
      </c>
      <c r="G74" s="4" t="n">
        <v>7.802</v>
      </c>
      <c r="H74" s="4" t="n">
        <v>0</v>
      </c>
      <c r="I74" t="n">
        <v>22</v>
      </c>
      <c r="J74" t="n">
        <v>19.92</v>
      </c>
      <c r="K74" t="n">
        <v>78.70999999999999</v>
      </c>
    </row>
    <row r="75">
      <c r="A75" s="4" t="inlineStr">
        <is>
          <t>Other MON below threshold</t>
        </is>
      </c>
      <c r="B75" s="4" t="inlineStr">
        <is>
          <t>MON</t>
        </is>
      </c>
      <c r="C75" s="4" t="inlineStr">
        <is>
          <t>Suma medida de 43 familias con menos de 0,05 GB, menos de 100000 documentos y menos de 0,05 eventos/s. No es una integracion.</t>
        </is>
      </c>
      <c r="D75" t="n">
        <v>29.24</v>
      </c>
      <c r="E75" t="n">
        <v>3.481</v>
      </c>
      <c r="F75" t="n">
        <v>872005640</v>
      </c>
      <c r="G75" s="4" t="n">
        <v>19.322</v>
      </c>
      <c r="H75" s="4" t="n">
        <v>0</v>
      </c>
      <c r="I75" t="n">
        <v>87</v>
      </c>
      <c r="J75" t="n">
        <v>14.82</v>
      </c>
      <c r="K75" t="n">
        <v>15.31</v>
      </c>
    </row>
  </sheetData>
  <mergeCells count="1">
    <mergeCell ref="A1:K1"/>
  </mergeCells>
  <dataValidations count="1">
    <dataValidation sqref="B3:B125" showDropDown="0" showInputMessage="0" showErrorMessage="0" allowBlank="1" type="list">
      <formula1>=Environments!$A$5:$A$50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Without Admin Cost — no surcharge</t>
        </is>
      </c>
    </row>
    <row r="2">
      <c r="A2" t="inlineStr">
        <is>
          <t>Surcharge rate</t>
        </is>
      </c>
      <c r="B2" t="n">
        <v>0</v>
      </c>
    </row>
    <row r="4">
      <c r="A4" s="2" t="inlineStr">
        <is>
          <t>Family</t>
        </is>
      </c>
      <c r="B4" s="2" t="inlineStr">
        <is>
          <t>Env</t>
        </is>
      </c>
      <c r="C4" s="2" t="inlineStr">
        <is>
          <t>GB hot</t>
        </is>
      </c>
      <c r="D4" s="2" t="inlineStr">
        <is>
          <t>Share hot</t>
        </is>
      </c>
      <c r="E4" s="2" t="inlineStr">
        <is>
          <t>GB frozen</t>
        </is>
      </c>
      <c r="F4" s="2" t="inlineStr">
        <is>
          <t>Share frozen</t>
        </is>
      </c>
      <c r="G4" s="2" t="inlineStr">
        <is>
          <t>Hot ECU/h</t>
        </is>
      </c>
      <c r="H4" s="2" t="inlineStr">
        <is>
          <t>Frozen ECU/h</t>
        </is>
      </c>
      <c r="I4" s="2" t="inlineStr">
        <is>
          <t>Snapshots/mo</t>
        </is>
      </c>
      <c r="J4" s="2" t="inlineStr">
        <is>
          <t>ECU/mo capacity</t>
        </is>
      </c>
      <c r="K4" s="2" t="inlineStr">
        <is>
          <t>ECU/mo snapshots</t>
        </is>
      </c>
      <c r="L4" s="2" t="inlineStr">
        <is>
          <t>ECU/mo Elastic</t>
        </is>
      </c>
      <c r="M4" s="2" t="inlineStr">
        <is>
          <t>ECU/mo surcharge</t>
        </is>
      </c>
      <c r="N4" s="2" t="inlineStr">
        <is>
          <t>ECU/mo total</t>
        </is>
      </c>
      <c r="O4" s="2" t="inlineStr">
        <is>
          <t>ECU/year</t>
        </is>
      </c>
    </row>
    <row r="5">
      <c r="A5">
        <f>Measurement!A3</f>
        <v/>
      </c>
      <c r="B5">
        <f>Measurement!B3</f>
        <v/>
      </c>
      <c r="C5">
        <f>Measurement!G3</f>
        <v/>
      </c>
      <c r="D5">
        <f>IF(SUMIF(Measurement!$B:$B,B5,Measurement!$G:$G)=0,0,C5/SUMIF(Measurement!$B:$B,B5,Measurement!$G:$G))</f>
        <v/>
      </c>
      <c r="E5">
        <f>Measurement!H3</f>
        <v/>
      </c>
      <c r="F5">
        <f>IF(SUMIF(Measurement!$B:$B,B5,Measurement!$H:$H)=0,0,E5/SUMIF(Measurement!$B:$B,B5,Measurement!$H:$H))</f>
        <v/>
      </c>
      <c r="G5">
        <f>IFERROR(VLOOKUP(B5,Environments!$A$5:$I$50,4,FALSE),0)</f>
        <v/>
      </c>
      <c r="H5">
        <f>IFERROR(VLOOKUP(B5,Environments!$A$5:$I$50,5,FALSE),0)</f>
        <v/>
      </c>
      <c r="I5">
        <f>IFERROR(VLOOKUP(B5,Environments!$A$5:$I$50,9,FALSE),0)</f>
        <v/>
      </c>
      <c r="J5">
        <f>(D5*G5+F5*H5)*Global!$B$3</f>
        <v/>
      </c>
      <c r="K5">
        <f>IF(SUMIF(Measurement!$B:$B,B5,Measurement!$H:$H)=0,D5*I5,F5*I5)</f>
        <v/>
      </c>
      <c r="L5">
        <f>J5+K5</f>
        <v/>
      </c>
      <c r="M5" t="n">
        <v>0</v>
      </c>
      <c r="N5">
        <f>L5+M5</f>
        <v/>
      </c>
      <c r="O5">
        <f>N5*12</f>
        <v/>
      </c>
    </row>
    <row r="6">
      <c r="A6">
        <f>Measurement!A4</f>
        <v/>
      </c>
      <c r="B6">
        <f>Measurement!B4</f>
        <v/>
      </c>
      <c r="C6">
        <f>Measurement!G4</f>
        <v/>
      </c>
      <c r="D6">
        <f>IF(SUMIF(Measurement!$B:$B,B6,Measurement!$G:$G)=0,0,C6/SUMIF(Measurement!$B:$B,B6,Measurement!$G:$G))</f>
        <v/>
      </c>
      <c r="E6">
        <f>Measurement!H4</f>
        <v/>
      </c>
      <c r="F6">
        <f>IF(SUMIF(Measurement!$B:$B,B6,Measurement!$H:$H)=0,0,E6/SUMIF(Measurement!$B:$B,B6,Measurement!$H:$H))</f>
        <v/>
      </c>
      <c r="G6">
        <f>IFERROR(VLOOKUP(B6,Environments!$A$5:$I$50,4,FALSE),0)</f>
        <v/>
      </c>
      <c r="H6">
        <f>IFERROR(VLOOKUP(B6,Environments!$A$5:$I$50,5,FALSE),0)</f>
        <v/>
      </c>
      <c r="I6">
        <f>IFERROR(VLOOKUP(B6,Environments!$A$5:$I$50,9,FALSE),0)</f>
        <v/>
      </c>
      <c r="J6">
        <f>(D6*G6+F6*H6)*Global!$B$3</f>
        <v/>
      </c>
      <c r="K6">
        <f>IF(SUMIF(Measurement!$B:$B,B6,Measurement!$H:$H)=0,D6*I6,F6*I6)</f>
        <v/>
      </c>
      <c r="L6">
        <f>J6+K6</f>
        <v/>
      </c>
      <c r="M6" t="n">
        <v>0</v>
      </c>
      <c r="N6">
        <f>L6+M6</f>
        <v/>
      </c>
      <c r="O6">
        <f>N6*12</f>
        <v/>
      </c>
    </row>
    <row r="7">
      <c r="A7">
        <f>Measurement!A5</f>
        <v/>
      </c>
      <c r="B7">
        <f>Measurement!B5</f>
        <v/>
      </c>
      <c r="C7">
        <f>Measurement!G5</f>
        <v/>
      </c>
      <c r="D7">
        <f>IF(SUMIF(Measurement!$B:$B,B7,Measurement!$G:$G)=0,0,C7/SUMIF(Measurement!$B:$B,B7,Measurement!$G:$G))</f>
        <v/>
      </c>
      <c r="E7">
        <f>Measurement!H5</f>
        <v/>
      </c>
      <c r="F7">
        <f>IF(SUMIF(Measurement!$B:$B,B7,Measurement!$H:$H)=0,0,E7/SUMIF(Measurement!$B:$B,B7,Measurement!$H:$H))</f>
        <v/>
      </c>
      <c r="G7">
        <f>IFERROR(VLOOKUP(B7,Environments!$A$5:$I$50,4,FALSE),0)</f>
        <v/>
      </c>
      <c r="H7">
        <f>IFERROR(VLOOKUP(B7,Environments!$A$5:$I$50,5,FALSE),0)</f>
        <v/>
      </c>
      <c r="I7">
        <f>IFERROR(VLOOKUP(B7,Environments!$A$5:$I$50,9,FALSE),0)</f>
        <v/>
      </c>
      <c r="J7">
        <f>(D7*G7+F7*H7)*Global!$B$3</f>
        <v/>
      </c>
      <c r="K7">
        <f>IF(SUMIF(Measurement!$B:$B,B7,Measurement!$H:$H)=0,D7*I7,F7*I7)</f>
        <v/>
      </c>
      <c r="L7">
        <f>J7+K7</f>
        <v/>
      </c>
      <c r="M7" t="n">
        <v>0</v>
      </c>
      <c r="N7">
        <f>L7+M7</f>
        <v/>
      </c>
      <c r="O7">
        <f>N7*12</f>
        <v/>
      </c>
    </row>
    <row r="8">
      <c r="A8">
        <f>Measurement!A6</f>
        <v/>
      </c>
      <c r="B8">
        <f>Measurement!B6</f>
        <v/>
      </c>
      <c r="C8">
        <f>Measurement!G6</f>
        <v/>
      </c>
      <c r="D8">
        <f>IF(SUMIF(Measurement!$B:$B,B8,Measurement!$G:$G)=0,0,C8/SUMIF(Measurement!$B:$B,B8,Measurement!$G:$G))</f>
        <v/>
      </c>
      <c r="E8">
        <f>Measurement!H6</f>
        <v/>
      </c>
      <c r="F8">
        <f>IF(SUMIF(Measurement!$B:$B,B8,Measurement!$H:$H)=0,0,E8/SUMIF(Measurement!$B:$B,B8,Measurement!$H:$H))</f>
        <v/>
      </c>
      <c r="G8">
        <f>IFERROR(VLOOKUP(B8,Environments!$A$5:$I$50,4,FALSE),0)</f>
        <v/>
      </c>
      <c r="H8">
        <f>IFERROR(VLOOKUP(B8,Environments!$A$5:$I$50,5,FALSE),0)</f>
        <v/>
      </c>
      <c r="I8">
        <f>IFERROR(VLOOKUP(B8,Environments!$A$5:$I$50,9,FALSE),0)</f>
        <v/>
      </c>
      <c r="J8">
        <f>(D8*G8+F8*H8)*Global!$B$3</f>
        <v/>
      </c>
      <c r="K8">
        <f>IF(SUMIF(Measurement!$B:$B,B8,Measurement!$H:$H)=0,D8*I8,F8*I8)</f>
        <v/>
      </c>
      <c r="L8">
        <f>J8+K8</f>
        <v/>
      </c>
      <c r="M8" t="n">
        <v>0</v>
      </c>
      <c r="N8">
        <f>L8+M8</f>
        <v/>
      </c>
      <c r="O8">
        <f>N8*12</f>
        <v/>
      </c>
    </row>
    <row r="9">
      <c r="A9">
        <f>Measurement!A7</f>
        <v/>
      </c>
      <c r="B9">
        <f>Measurement!B7</f>
        <v/>
      </c>
      <c r="C9">
        <f>Measurement!G7</f>
        <v/>
      </c>
      <c r="D9">
        <f>IF(SUMIF(Measurement!$B:$B,B9,Measurement!$G:$G)=0,0,C9/SUMIF(Measurement!$B:$B,B9,Measurement!$G:$G))</f>
        <v/>
      </c>
      <c r="E9">
        <f>Measurement!H7</f>
        <v/>
      </c>
      <c r="F9">
        <f>IF(SUMIF(Measurement!$B:$B,B9,Measurement!$H:$H)=0,0,E9/SUMIF(Measurement!$B:$B,B9,Measurement!$H:$H))</f>
        <v/>
      </c>
      <c r="G9">
        <f>IFERROR(VLOOKUP(B9,Environments!$A$5:$I$50,4,FALSE),0)</f>
        <v/>
      </c>
      <c r="H9">
        <f>IFERROR(VLOOKUP(B9,Environments!$A$5:$I$50,5,FALSE),0)</f>
        <v/>
      </c>
      <c r="I9">
        <f>IFERROR(VLOOKUP(B9,Environments!$A$5:$I$50,9,FALSE),0)</f>
        <v/>
      </c>
      <c r="J9">
        <f>(D9*G9+F9*H9)*Global!$B$3</f>
        <v/>
      </c>
      <c r="K9">
        <f>IF(SUMIF(Measurement!$B:$B,B9,Measurement!$H:$H)=0,D9*I9,F9*I9)</f>
        <v/>
      </c>
      <c r="L9">
        <f>J9+K9</f>
        <v/>
      </c>
      <c r="M9" t="n">
        <v>0</v>
      </c>
      <c r="N9">
        <f>L9+M9</f>
        <v/>
      </c>
      <c r="O9">
        <f>N9*12</f>
        <v/>
      </c>
    </row>
    <row r="10">
      <c r="A10">
        <f>Measurement!A8</f>
        <v/>
      </c>
      <c r="B10">
        <f>Measurement!B8</f>
        <v/>
      </c>
      <c r="C10">
        <f>Measurement!G8</f>
        <v/>
      </c>
      <c r="D10">
        <f>IF(SUMIF(Measurement!$B:$B,B10,Measurement!$G:$G)=0,0,C10/SUMIF(Measurement!$B:$B,B10,Measurement!$G:$G))</f>
        <v/>
      </c>
      <c r="E10">
        <f>Measurement!H8</f>
        <v/>
      </c>
      <c r="F10">
        <f>IF(SUMIF(Measurement!$B:$B,B10,Measurement!$H:$H)=0,0,E10/SUMIF(Measurement!$B:$B,B10,Measurement!$H:$H))</f>
        <v/>
      </c>
      <c r="G10">
        <f>IFERROR(VLOOKUP(B10,Environments!$A$5:$I$50,4,FALSE),0)</f>
        <v/>
      </c>
      <c r="H10">
        <f>IFERROR(VLOOKUP(B10,Environments!$A$5:$I$50,5,FALSE),0)</f>
        <v/>
      </c>
      <c r="I10">
        <f>IFERROR(VLOOKUP(B10,Environments!$A$5:$I$50,9,FALSE),0)</f>
        <v/>
      </c>
      <c r="J10">
        <f>(D10*G10+F10*H10)*Global!$B$3</f>
        <v/>
      </c>
      <c r="K10">
        <f>IF(SUMIF(Measurement!$B:$B,B10,Measurement!$H:$H)=0,D10*I10,F10*I10)</f>
        <v/>
      </c>
      <c r="L10">
        <f>J10+K10</f>
        <v/>
      </c>
      <c r="M10" t="n">
        <v>0</v>
      </c>
      <c r="N10">
        <f>L10+M10</f>
        <v/>
      </c>
      <c r="O10">
        <f>N10*12</f>
        <v/>
      </c>
    </row>
    <row r="11">
      <c r="A11">
        <f>Measurement!A9</f>
        <v/>
      </c>
      <c r="B11">
        <f>Measurement!B9</f>
        <v/>
      </c>
      <c r="C11">
        <f>Measurement!G9</f>
        <v/>
      </c>
      <c r="D11">
        <f>IF(SUMIF(Measurement!$B:$B,B11,Measurement!$G:$G)=0,0,C11/SUMIF(Measurement!$B:$B,B11,Measurement!$G:$G))</f>
        <v/>
      </c>
      <c r="E11">
        <f>Measurement!H9</f>
        <v/>
      </c>
      <c r="F11">
        <f>IF(SUMIF(Measurement!$B:$B,B11,Measurement!$H:$H)=0,0,E11/SUMIF(Measurement!$B:$B,B11,Measurement!$H:$H))</f>
        <v/>
      </c>
      <c r="G11">
        <f>IFERROR(VLOOKUP(B11,Environments!$A$5:$I$50,4,FALSE),0)</f>
        <v/>
      </c>
      <c r="H11">
        <f>IFERROR(VLOOKUP(B11,Environments!$A$5:$I$50,5,FALSE),0)</f>
        <v/>
      </c>
      <c r="I11">
        <f>IFERROR(VLOOKUP(B11,Environments!$A$5:$I$50,9,FALSE),0)</f>
        <v/>
      </c>
      <c r="J11">
        <f>(D11*G11+F11*H11)*Global!$B$3</f>
        <v/>
      </c>
      <c r="K11">
        <f>IF(SUMIF(Measurement!$B:$B,B11,Measurement!$H:$H)=0,D11*I11,F11*I11)</f>
        <v/>
      </c>
      <c r="L11">
        <f>J11+K11</f>
        <v/>
      </c>
      <c r="M11" t="n">
        <v>0</v>
      </c>
      <c r="N11">
        <f>L11+M11</f>
        <v/>
      </c>
      <c r="O11">
        <f>N11*12</f>
        <v/>
      </c>
    </row>
    <row r="12">
      <c r="A12">
        <f>Measurement!A10</f>
        <v/>
      </c>
      <c r="B12">
        <f>Measurement!B10</f>
        <v/>
      </c>
      <c r="C12">
        <f>Measurement!G10</f>
        <v/>
      </c>
      <c r="D12">
        <f>IF(SUMIF(Measurement!$B:$B,B12,Measurement!$G:$G)=0,0,C12/SUMIF(Measurement!$B:$B,B12,Measurement!$G:$G))</f>
        <v/>
      </c>
      <c r="E12">
        <f>Measurement!H10</f>
        <v/>
      </c>
      <c r="F12">
        <f>IF(SUMIF(Measurement!$B:$B,B12,Measurement!$H:$H)=0,0,E12/SUMIF(Measurement!$B:$B,B12,Measurement!$H:$H))</f>
        <v/>
      </c>
      <c r="G12">
        <f>IFERROR(VLOOKUP(B12,Environments!$A$5:$I$50,4,FALSE),0)</f>
        <v/>
      </c>
      <c r="H12">
        <f>IFERROR(VLOOKUP(B12,Environments!$A$5:$I$50,5,FALSE),0)</f>
        <v/>
      </c>
      <c r="I12">
        <f>IFERROR(VLOOKUP(B12,Environments!$A$5:$I$50,9,FALSE),0)</f>
        <v/>
      </c>
      <c r="J12">
        <f>(D12*G12+F12*H12)*Global!$B$3</f>
        <v/>
      </c>
      <c r="K12">
        <f>IF(SUMIF(Measurement!$B:$B,B12,Measurement!$H:$H)=0,D12*I12,F12*I12)</f>
        <v/>
      </c>
      <c r="L12">
        <f>J12+K12</f>
        <v/>
      </c>
      <c r="M12" t="n">
        <v>0</v>
      </c>
      <c r="N12">
        <f>L12+M12</f>
        <v/>
      </c>
      <c r="O12">
        <f>N12*12</f>
        <v/>
      </c>
    </row>
    <row r="13">
      <c r="A13">
        <f>Measurement!A11</f>
        <v/>
      </c>
      <c r="B13">
        <f>Measurement!B11</f>
        <v/>
      </c>
      <c r="C13">
        <f>Measurement!G11</f>
        <v/>
      </c>
      <c r="D13">
        <f>IF(SUMIF(Measurement!$B:$B,B13,Measurement!$G:$G)=0,0,C13/SUMIF(Measurement!$B:$B,B13,Measurement!$G:$G))</f>
        <v/>
      </c>
      <c r="E13">
        <f>Measurement!H11</f>
        <v/>
      </c>
      <c r="F13">
        <f>IF(SUMIF(Measurement!$B:$B,B13,Measurement!$H:$H)=0,0,E13/SUMIF(Measurement!$B:$B,B13,Measurement!$H:$H))</f>
        <v/>
      </c>
      <c r="G13">
        <f>IFERROR(VLOOKUP(B13,Environments!$A$5:$I$50,4,FALSE),0)</f>
        <v/>
      </c>
      <c r="H13">
        <f>IFERROR(VLOOKUP(B13,Environments!$A$5:$I$50,5,FALSE),0)</f>
        <v/>
      </c>
      <c r="I13">
        <f>IFERROR(VLOOKUP(B13,Environments!$A$5:$I$50,9,FALSE),0)</f>
        <v/>
      </c>
      <c r="J13">
        <f>(D13*G13+F13*H13)*Global!$B$3</f>
        <v/>
      </c>
      <c r="K13">
        <f>IF(SUMIF(Measurement!$B:$B,B13,Measurement!$H:$H)=0,D13*I13,F13*I13)</f>
        <v/>
      </c>
      <c r="L13">
        <f>J13+K13</f>
        <v/>
      </c>
      <c r="M13" t="n">
        <v>0</v>
      </c>
      <c r="N13">
        <f>L13+M13</f>
        <v/>
      </c>
      <c r="O13">
        <f>N13*12</f>
        <v/>
      </c>
    </row>
    <row r="14">
      <c r="A14">
        <f>Measurement!A12</f>
        <v/>
      </c>
      <c r="B14">
        <f>Measurement!B12</f>
        <v/>
      </c>
      <c r="C14">
        <f>Measurement!G12</f>
        <v/>
      </c>
      <c r="D14">
        <f>IF(SUMIF(Measurement!$B:$B,B14,Measurement!$G:$G)=0,0,C14/SUMIF(Measurement!$B:$B,B14,Measurement!$G:$G))</f>
        <v/>
      </c>
      <c r="E14">
        <f>Measurement!H12</f>
        <v/>
      </c>
      <c r="F14">
        <f>IF(SUMIF(Measurement!$B:$B,B14,Measurement!$H:$H)=0,0,E14/SUMIF(Measurement!$B:$B,B14,Measurement!$H:$H))</f>
        <v/>
      </c>
      <c r="G14">
        <f>IFERROR(VLOOKUP(B14,Environments!$A$5:$I$50,4,FALSE),0)</f>
        <v/>
      </c>
      <c r="H14">
        <f>IFERROR(VLOOKUP(B14,Environments!$A$5:$I$50,5,FALSE),0)</f>
        <v/>
      </c>
      <c r="I14">
        <f>IFERROR(VLOOKUP(B14,Environments!$A$5:$I$50,9,FALSE),0)</f>
        <v/>
      </c>
      <c r="J14">
        <f>(D14*G14+F14*H14)*Global!$B$3</f>
        <v/>
      </c>
      <c r="K14">
        <f>IF(SUMIF(Measurement!$B:$B,B14,Measurement!$H:$H)=0,D14*I14,F14*I14)</f>
        <v/>
      </c>
      <c r="L14">
        <f>J14+K14</f>
        <v/>
      </c>
      <c r="M14" t="n">
        <v>0</v>
      </c>
      <c r="N14">
        <f>L14+M14</f>
        <v/>
      </c>
      <c r="O14">
        <f>N14*12</f>
        <v/>
      </c>
    </row>
    <row r="15">
      <c r="A15">
        <f>Measurement!A13</f>
        <v/>
      </c>
      <c r="B15">
        <f>Measurement!B13</f>
        <v/>
      </c>
      <c r="C15">
        <f>Measurement!G13</f>
        <v/>
      </c>
      <c r="D15">
        <f>IF(SUMIF(Measurement!$B:$B,B15,Measurement!$G:$G)=0,0,C15/SUMIF(Measurement!$B:$B,B15,Measurement!$G:$G))</f>
        <v/>
      </c>
      <c r="E15">
        <f>Measurement!H13</f>
        <v/>
      </c>
      <c r="F15">
        <f>IF(SUMIF(Measurement!$B:$B,B15,Measurement!$H:$H)=0,0,E15/SUMIF(Measurement!$B:$B,B15,Measurement!$H:$H))</f>
        <v/>
      </c>
      <c r="G15">
        <f>IFERROR(VLOOKUP(B15,Environments!$A$5:$I$50,4,FALSE),0)</f>
        <v/>
      </c>
      <c r="H15">
        <f>IFERROR(VLOOKUP(B15,Environments!$A$5:$I$50,5,FALSE),0)</f>
        <v/>
      </c>
      <c r="I15">
        <f>IFERROR(VLOOKUP(B15,Environments!$A$5:$I$50,9,FALSE),0)</f>
        <v/>
      </c>
      <c r="J15">
        <f>(D15*G15+F15*H15)*Global!$B$3</f>
        <v/>
      </c>
      <c r="K15">
        <f>IF(SUMIF(Measurement!$B:$B,B15,Measurement!$H:$H)=0,D15*I15,F15*I15)</f>
        <v/>
      </c>
      <c r="L15">
        <f>J15+K15</f>
        <v/>
      </c>
      <c r="M15" t="n">
        <v>0</v>
      </c>
      <c r="N15">
        <f>L15+M15</f>
        <v/>
      </c>
      <c r="O15">
        <f>N15*12</f>
        <v/>
      </c>
    </row>
    <row r="16">
      <c r="A16">
        <f>Measurement!A14</f>
        <v/>
      </c>
      <c r="B16">
        <f>Measurement!B14</f>
        <v/>
      </c>
      <c r="C16">
        <f>Measurement!G14</f>
        <v/>
      </c>
      <c r="D16">
        <f>IF(SUMIF(Measurement!$B:$B,B16,Measurement!$G:$G)=0,0,C16/SUMIF(Measurement!$B:$B,B16,Measurement!$G:$G))</f>
        <v/>
      </c>
      <c r="E16">
        <f>Measurement!H14</f>
        <v/>
      </c>
      <c r="F16">
        <f>IF(SUMIF(Measurement!$B:$B,B16,Measurement!$H:$H)=0,0,E16/SUMIF(Measurement!$B:$B,B16,Measurement!$H:$H))</f>
        <v/>
      </c>
      <c r="G16">
        <f>IFERROR(VLOOKUP(B16,Environments!$A$5:$I$50,4,FALSE),0)</f>
        <v/>
      </c>
      <c r="H16">
        <f>IFERROR(VLOOKUP(B16,Environments!$A$5:$I$50,5,FALSE),0)</f>
        <v/>
      </c>
      <c r="I16">
        <f>IFERROR(VLOOKUP(B16,Environments!$A$5:$I$50,9,FALSE),0)</f>
        <v/>
      </c>
      <c r="J16">
        <f>(D16*G16+F16*H16)*Global!$B$3</f>
        <v/>
      </c>
      <c r="K16">
        <f>IF(SUMIF(Measurement!$B:$B,B16,Measurement!$H:$H)=0,D16*I16,F16*I16)</f>
        <v/>
      </c>
      <c r="L16">
        <f>J16+K16</f>
        <v/>
      </c>
      <c r="M16" t="n">
        <v>0</v>
      </c>
      <c r="N16">
        <f>L16+M16</f>
        <v/>
      </c>
      <c r="O16">
        <f>N16*12</f>
        <v/>
      </c>
    </row>
    <row r="17">
      <c r="A17">
        <f>Measurement!A15</f>
        <v/>
      </c>
      <c r="B17">
        <f>Measurement!B15</f>
        <v/>
      </c>
      <c r="C17">
        <f>Measurement!G15</f>
        <v/>
      </c>
      <c r="D17">
        <f>IF(SUMIF(Measurement!$B:$B,B17,Measurement!$G:$G)=0,0,C17/SUMIF(Measurement!$B:$B,B17,Measurement!$G:$G))</f>
        <v/>
      </c>
      <c r="E17">
        <f>Measurement!H15</f>
        <v/>
      </c>
      <c r="F17">
        <f>IF(SUMIF(Measurement!$B:$B,B17,Measurement!$H:$H)=0,0,E17/SUMIF(Measurement!$B:$B,B17,Measurement!$H:$H))</f>
        <v/>
      </c>
      <c r="G17">
        <f>IFERROR(VLOOKUP(B17,Environments!$A$5:$I$50,4,FALSE),0)</f>
        <v/>
      </c>
      <c r="H17">
        <f>IFERROR(VLOOKUP(B17,Environments!$A$5:$I$50,5,FALSE),0)</f>
        <v/>
      </c>
      <c r="I17">
        <f>IFERROR(VLOOKUP(B17,Environments!$A$5:$I$50,9,FALSE),0)</f>
        <v/>
      </c>
      <c r="J17">
        <f>(D17*G17+F17*H17)*Global!$B$3</f>
        <v/>
      </c>
      <c r="K17">
        <f>IF(SUMIF(Measurement!$B:$B,B17,Measurement!$H:$H)=0,D17*I17,F17*I17)</f>
        <v/>
      </c>
      <c r="L17">
        <f>J17+K17</f>
        <v/>
      </c>
      <c r="M17" t="n">
        <v>0</v>
      </c>
      <c r="N17">
        <f>L17+M17</f>
        <v/>
      </c>
      <c r="O17">
        <f>N17*12</f>
        <v/>
      </c>
    </row>
    <row r="18">
      <c r="A18">
        <f>Measurement!A16</f>
        <v/>
      </c>
      <c r="B18">
        <f>Measurement!B16</f>
        <v/>
      </c>
      <c r="C18">
        <f>Measurement!G16</f>
        <v/>
      </c>
      <c r="D18">
        <f>IF(SUMIF(Measurement!$B:$B,B18,Measurement!$G:$G)=0,0,C18/SUMIF(Measurement!$B:$B,B18,Measurement!$G:$G))</f>
        <v/>
      </c>
      <c r="E18">
        <f>Measurement!H16</f>
        <v/>
      </c>
      <c r="F18">
        <f>IF(SUMIF(Measurement!$B:$B,B18,Measurement!$H:$H)=0,0,E18/SUMIF(Measurement!$B:$B,B18,Measurement!$H:$H))</f>
        <v/>
      </c>
      <c r="G18">
        <f>IFERROR(VLOOKUP(B18,Environments!$A$5:$I$50,4,FALSE),0)</f>
        <v/>
      </c>
      <c r="H18">
        <f>IFERROR(VLOOKUP(B18,Environments!$A$5:$I$50,5,FALSE),0)</f>
        <v/>
      </c>
      <c r="I18">
        <f>IFERROR(VLOOKUP(B18,Environments!$A$5:$I$50,9,FALSE),0)</f>
        <v/>
      </c>
      <c r="J18">
        <f>(D18*G18+F18*H18)*Global!$B$3</f>
        <v/>
      </c>
      <c r="K18">
        <f>IF(SUMIF(Measurement!$B:$B,B18,Measurement!$H:$H)=0,D18*I18,F18*I18)</f>
        <v/>
      </c>
      <c r="L18">
        <f>J18+K18</f>
        <v/>
      </c>
      <c r="M18" t="n">
        <v>0</v>
      </c>
      <c r="N18">
        <f>L18+M18</f>
        <v/>
      </c>
      <c r="O18">
        <f>N18*12</f>
        <v/>
      </c>
    </row>
    <row r="19">
      <c r="A19">
        <f>Measurement!A17</f>
        <v/>
      </c>
      <c r="B19">
        <f>Measurement!B17</f>
        <v/>
      </c>
      <c r="C19">
        <f>Measurement!G17</f>
        <v/>
      </c>
      <c r="D19">
        <f>IF(SUMIF(Measurement!$B:$B,B19,Measurement!$G:$G)=0,0,C19/SUMIF(Measurement!$B:$B,B19,Measurement!$G:$G))</f>
        <v/>
      </c>
      <c r="E19">
        <f>Measurement!H17</f>
        <v/>
      </c>
      <c r="F19">
        <f>IF(SUMIF(Measurement!$B:$B,B19,Measurement!$H:$H)=0,0,E19/SUMIF(Measurement!$B:$B,B19,Measurement!$H:$H))</f>
        <v/>
      </c>
      <c r="G19">
        <f>IFERROR(VLOOKUP(B19,Environments!$A$5:$I$50,4,FALSE),0)</f>
        <v/>
      </c>
      <c r="H19">
        <f>IFERROR(VLOOKUP(B19,Environments!$A$5:$I$50,5,FALSE),0)</f>
        <v/>
      </c>
      <c r="I19">
        <f>IFERROR(VLOOKUP(B19,Environments!$A$5:$I$50,9,FALSE),0)</f>
        <v/>
      </c>
      <c r="J19">
        <f>(D19*G19+F19*H19)*Global!$B$3</f>
        <v/>
      </c>
      <c r="K19">
        <f>IF(SUMIF(Measurement!$B:$B,B19,Measurement!$H:$H)=0,D19*I19,F19*I19)</f>
        <v/>
      </c>
      <c r="L19">
        <f>J19+K19</f>
        <v/>
      </c>
      <c r="M19" t="n">
        <v>0</v>
      </c>
      <c r="N19">
        <f>L19+M19</f>
        <v/>
      </c>
      <c r="O19">
        <f>N19*12</f>
        <v/>
      </c>
    </row>
    <row r="20">
      <c r="A20">
        <f>Measurement!A18</f>
        <v/>
      </c>
      <c r="B20">
        <f>Measurement!B18</f>
        <v/>
      </c>
      <c r="C20">
        <f>Measurement!G18</f>
        <v/>
      </c>
      <c r="D20">
        <f>IF(SUMIF(Measurement!$B:$B,B20,Measurement!$G:$G)=0,0,C20/SUMIF(Measurement!$B:$B,B20,Measurement!$G:$G))</f>
        <v/>
      </c>
      <c r="E20">
        <f>Measurement!H18</f>
        <v/>
      </c>
      <c r="F20">
        <f>IF(SUMIF(Measurement!$B:$B,B20,Measurement!$H:$H)=0,0,E20/SUMIF(Measurement!$B:$B,B20,Measurement!$H:$H))</f>
        <v/>
      </c>
      <c r="G20">
        <f>IFERROR(VLOOKUP(B20,Environments!$A$5:$I$50,4,FALSE),0)</f>
        <v/>
      </c>
      <c r="H20">
        <f>IFERROR(VLOOKUP(B20,Environments!$A$5:$I$50,5,FALSE),0)</f>
        <v/>
      </c>
      <c r="I20">
        <f>IFERROR(VLOOKUP(B20,Environments!$A$5:$I$50,9,FALSE),0)</f>
        <v/>
      </c>
      <c r="J20">
        <f>(D20*G20+F20*H20)*Global!$B$3</f>
        <v/>
      </c>
      <c r="K20">
        <f>IF(SUMIF(Measurement!$B:$B,B20,Measurement!$H:$H)=0,D20*I20,F20*I20)</f>
        <v/>
      </c>
      <c r="L20">
        <f>J20+K20</f>
        <v/>
      </c>
      <c r="M20" t="n">
        <v>0</v>
      </c>
      <c r="N20">
        <f>L20+M20</f>
        <v/>
      </c>
      <c r="O20">
        <f>N20*12</f>
        <v/>
      </c>
    </row>
    <row r="21">
      <c r="A21">
        <f>Measurement!A19</f>
        <v/>
      </c>
      <c r="B21">
        <f>Measurement!B19</f>
        <v/>
      </c>
      <c r="C21">
        <f>Measurement!G19</f>
        <v/>
      </c>
      <c r="D21">
        <f>IF(SUMIF(Measurement!$B:$B,B21,Measurement!$G:$G)=0,0,C21/SUMIF(Measurement!$B:$B,B21,Measurement!$G:$G))</f>
        <v/>
      </c>
      <c r="E21">
        <f>Measurement!H19</f>
        <v/>
      </c>
      <c r="F21">
        <f>IF(SUMIF(Measurement!$B:$B,B21,Measurement!$H:$H)=0,0,E21/SUMIF(Measurement!$B:$B,B21,Measurement!$H:$H))</f>
        <v/>
      </c>
      <c r="G21">
        <f>IFERROR(VLOOKUP(B21,Environments!$A$5:$I$50,4,FALSE),0)</f>
        <v/>
      </c>
      <c r="H21">
        <f>IFERROR(VLOOKUP(B21,Environments!$A$5:$I$50,5,FALSE),0)</f>
        <v/>
      </c>
      <c r="I21">
        <f>IFERROR(VLOOKUP(B21,Environments!$A$5:$I$50,9,FALSE),0)</f>
        <v/>
      </c>
      <c r="J21">
        <f>(D21*G21+F21*H21)*Global!$B$3</f>
        <v/>
      </c>
      <c r="K21">
        <f>IF(SUMIF(Measurement!$B:$B,B21,Measurement!$H:$H)=0,D21*I21,F21*I21)</f>
        <v/>
      </c>
      <c r="L21">
        <f>J21+K21</f>
        <v/>
      </c>
      <c r="M21" t="n">
        <v>0</v>
      </c>
      <c r="N21">
        <f>L21+M21</f>
        <v/>
      </c>
      <c r="O21">
        <f>N21*12</f>
        <v/>
      </c>
    </row>
    <row r="22">
      <c r="A22">
        <f>Measurement!A20</f>
        <v/>
      </c>
      <c r="B22">
        <f>Measurement!B20</f>
        <v/>
      </c>
      <c r="C22">
        <f>Measurement!G20</f>
        <v/>
      </c>
      <c r="D22">
        <f>IF(SUMIF(Measurement!$B:$B,B22,Measurement!$G:$G)=0,0,C22/SUMIF(Measurement!$B:$B,B22,Measurement!$G:$G))</f>
        <v/>
      </c>
      <c r="E22">
        <f>Measurement!H20</f>
        <v/>
      </c>
      <c r="F22">
        <f>IF(SUMIF(Measurement!$B:$B,B22,Measurement!$H:$H)=0,0,E22/SUMIF(Measurement!$B:$B,B22,Measurement!$H:$H))</f>
        <v/>
      </c>
      <c r="G22">
        <f>IFERROR(VLOOKUP(B22,Environments!$A$5:$I$50,4,FALSE),0)</f>
        <v/>
      </c>
      <c r="H22">
        <f>IFERROR(VLOOKUP(B22,Environments!$A$5:$I$50,5,FALSE),0)</f>
        <v/>
      </c>
      <c r="I22">
        <f>IFERROR(VLOOKUP(B22,Environments!$A$5:$I$50,9,FALSE),0)</f>
        <v/>
      </c>
      <c r="J22">
        <f>(D22*G22+F22*H22)*Global!$B$3</f>
        <v/>
      </c>
      <c r="K22">
        <f>IF(SUMIF(Measurement!$B:$B,B22,Measurement!$H:$H)=0,D22*I22,F22*I22)</f>
        <v/>
      </c>
      <c r="L22">
        <f>J22+K22</f>
        <v/>
      </c>
      <c r="M22" t="n">
        <v>0</v>
      </c>
      <c r="N22">
        <f>L22+M22</f>
        <v/>
      </c>
      <c r="O22">
        <f>N22*12</f>
        <v/>
      </c>
    </row>
    <row r="23">
      <c r="A23">
        <f>Measurement!A21</f>
        <v/>
      </c>
      <c r="B23">
        <f>Measurement!B21</f>
        <v/>
      </c>
      <c r="C23">
        <f>Measurement!G21</f>
        <v/>
      </c>
      <c r="D23">
        <f>IF(SUMIF(Measurement!$B:$B,B23,Measurement!$G:$G)=0,0,C23/SUMIF(Measurement!$B:$B,B23,Measurement!$G:$G))</f>
        <v/>
      </c>
      <c r="E23">
        <f>Measurement!H21</f>
        <v/>
      </c>
      <c r="F23">
        <f>IF(SUMIF(Measurement!$B:$B,B23,Measurement!$H:$H)=0,0,E23/SUMIF(Measurement!$B:$B,B23,Measurement!$H:$H))</f>
        <v/>
      </c>
      <c r="G23">
        <f>IFERROR(VLOOKUP(B23,Environments!$A$5:$I$50,4,FALSE),0)</f>
        <v/>
      </c>
      <c r="H23">
        <f>IFERROR(VLOOKUP(B23,Environments!$A$5:$I$50,5,FALSE),0)</f>
        <v/>
      </c>
      <c r="I23">
        <f>IFERROR(VLOOKUP(B23,Environments!$A$5:$I$50,9,FALSE),0)</f>
        <v/>
      </c>
      <c r="J23">
        <f>(D23*G23+F23*H23)*Global!$B$3</f>
        <v/>
      </c>
      <c r="K23">
        <f>IF(SUMIF(Measurement!$B:$B,B23,Measurement!$H:$H)=0,D23*I23,F23*I23)</f>
        <v/>
      </c>
      <c r="L23">
        <f>J23+K23</f>
        <v/>
      </c>
      <c r="M23" t="n">
        <v>0</v>
      </c>
      <c r="N23">
        <f>L23+M23</f>
        <v/>
      </c>
      <c r="O23">
        <f>N23*12</f>
        <v/>
      </c>
    </row>
    <row r="24">
      <c r="A24">
        <f>Measurement!A22</f>
        <v/>
      </c>
      <c r="B24">
        <f>Measurement!B22</f>
        <v/>
      </c>
      <c r="C24">
        <f>Measurement!G22</f>
        <v/>
      </c>
      <c r="D24">
        <f>IF(SUMIF(Measurement!$B:$B,B24,Measurement!$G:$G)=0,0,C24/SUMIF(Measurement!$B:$B,B24,Measurement!$G:$G))</f>
        <v/>
      </c>
      <c r="E24">
        <f>Measurement!H22</f>
        <v/>
      </c>
      <c r="F24">
        <f>IF(SUMIF(Measurement!$B:$B,B24,Measurement!$H:$H)=0,0,E24/SUMIF(Measurement!$B:$B,B24,Measurement!$H:$H))</f>
        <v/>
      </c>
      <c r="G24">
        <f>IFERROR(VLOOKUP(B24,Environments!$A$5:$I$50,4,FALSE),0)</f>
        <v/>
      </c>
      <c r="H24">
        <f>IFERROR(VLOOKUP(B24,Environments!$A$5:$I$50,5,FALSE),0)</f>
        <v/>
      </c>
      <c r="I24">
        <f>IFERROR(VLOOKUP(B24,Environments!$A$5:$I$50,9,FALSE),0)</f>
        <v/>
      </c>
      <c r="J24">
        <f>(D24*G24+F24*H24)*Global!$B$3</f>
        <v/>
      </c>
      <c r="K24">
        <f>IF(SUMIF(Measurement!$B:$B,B24,Measurement!$H:$H)=0,D24*I24,F24*I24)</f>
        <v/>
      </c>
      <c r="L24">
        <f>J24+K24</f>
        <v/>
      </c>
      <c r="M24" t="n">
        <v>0</v>
      </c>
      <c r="N24">
        <f>L24+M24</f>
        <v/>
      </c>
      <c r="O24">
        <f>N24*12</f>
        <v/>
      </c>
    </row>
    <row r="25">
      <c r="A25">
        <f>Measurement!A23</f>
        <v/>
      </c>
      <c r="B25">
        <f>Measurement!B23</f>
        <v/>
      </c>
      <c r="C25">
        <f>Measurement!G23</f>
        <v/>
      </c>
      <c r="D25">
        <f>IF(SUMIF(Measurement!$B:$B,B25,Measurement!$G:$G)=0,0,C25/SUMIF(Measurement!$B:$B,B25,Measurement!$G:$G))</f>
        <v/>
      </c>
      <c r="E25">
        <f>Measurement!H23</f>
        <v/>
      </c>
      <c r="F25">
        <f>IF(SUMIF(Measurement!$B:$B,B25,Measurement!$H:$H)=0,0,E25/SUMIF(Measurement!$B:$B,B25,Measurement!$H:$H))</f>
        <v/>
      </c>
      <c r="G25">
        <f>IFERROR(VLOOKUP(B25,Environments!$A$5:$I$50,4,FALSE),0)</f>
        <v/>
      </c>
      <c r="H25">
        <f>IFERROR(VLOOKUP(B25,Environments!$A$5:$I$50,5,FALSE),0)</f>
        <v/>
      </c>
      <c r="I25">
        <f>IFERROR(VLOOKUP(B25,Environments!$A$5:$I$50,9,FALSE),0)</f>
        <v/>
      </c>
      <c r="J25">
        <f>(D25*G25+F25*H25)*Global!$B$3</f>
        <v/>
      </c>
      <c r="K25">
        <f>IF(SUMIF(Measurement!$B:$B,B25,Measurement!$H:$H)=0,D25*I25,F25*I25)</f>
        <v/>
      </c>
      <c r="L25">
        <f>J25+K25</f>
        <v/>
      </c>
      <c r="M25" t="n">
        <v>0</v>
      </c>
      <c r="N25">
        <f>L25+M25</f>
        <v/>
      </c>
      <c r="O25">
        <f>N25*12</f>
        <v/>
      </c>
    </row>
    <row r="26">
      <c r="A26">
        <f>Measurement!A24</f>
        <v/>
      </c>
      <c r="B26">
        <f>Measurement!B24</f>
        <v/>
      </c>
      <c r="C26">
        <f>Measurement!G24</f>
        <v/>
      </c>
      <c r="D26">
        <f>IF(SUMIF(Measurement!$B:$B,B26,Measurement!$G:$G)=0,0,C26/SUMIF(Measurement!$B:$B,B26,Measurement!$G:$G))</f>
        <v/>
      </c>
      <c r="E26">
        <f>Measurement!H24</f>
        <v/>
      </c>
      <c r="F26">
        <f>IF(SUMIF(Measurement!$B:$B,B26,Measurement!$H:$H)=0,0,E26/SUMIF(Measurement!$B:$B,B26,Measurement!$H:$H))</f>
        <v/>
      </c>
      <c r="G26">
        <f>IFERROR(VLOOKUP(B26,Environments!$A$5:$I$50,4,FALSE),0)</f>
        <v/>
      </c>
      <c r="H26">
        <f>IFERROR(VLOOKUP(B26,Environments!$A$5:$I$50,5,FALSE),0)</f>
        <v/>
      </c>
      <c r="I26">
        <f>IFERROR(VLOOKUP(B26,Environments!$A$5:$I$50,9,FALSE),0)</f>
        <v/>
      </c>
      <c r="J26">
        <f>(D26*G26+F26*H26)*Global!$B$3</f>
        <v/>
      </c>
      <c r="K26">
        <f>IF(SUMIF(Measurement!$B:$B,B26,Measurement!$H:$H)=0,D26*I26,F26*I26)</f>
        <v/>
      </c>
      <c r="L26">
        <f>J26+K26</f>
        <v/>
      </c>
      <c r="M26" t="n">
        <v>0</v>
      </c>
      <c r="N26">
        <f>L26+M26</f>
        <v/>
      </c>
      <c r="O26">
        <f>N26*12</f>
        <v/>
      </c>
    </row>
    <row r="27">
      <c r="A27">
        <f>Measurement!A25</f>
        <v/>
      </c>
      <c r="B27">
        <f>Measurement!B25</f>
        <v/>
      </c>
      <c r="C27">
        <f>Measurement!G25</f>
        <v/>
      </c>
      <c r="D27">
        <f>IF(SUMIF(Measurement!$B:$B,B27,Measurement!$G:$G)=0,0,C27/SUMIF(Measurement!$B:$B,B27,Measurement!$G:$G))</f>
        <v/>
      </c>
      <c r="E27">
        <f>Measurement!H25</f>
        <v/>
      </c>
      <c r="F27">
        <f>IF(SUMIF(Measurement!$B:$B,B27,Measurement!$H:$H)=0,0,E27/SUMIF(Measurement!$B:$B,B27,Measurement!$H:$H))</f>
        <v/>
      </c>
      <c r="G27">
        <f>IFERROR(VLOOKUP(B27,Environments!$A$5:$I$50,4,FALSE),0)</f>
        <v/>
      </c>
      <c r="H27">
        <f>IFERROR(VLOOKUP(B27,Environments!$A$5:$I$50,5,FALSE),0)</f>
        <v/>
      </c>
      <c r="I27">
        <f>IFERROR(VLOOKUP(B27,Environments!$A$5:$I$50,9,FALSE),0)</f>
        <v/>
      </c>
      <c r="J27">
        <f>(D27*G27+F27*H27)*Global!$B$3</f>
        <v/>
      </c>
      <c r="K27">
        <f>IF(SUMIF(Measurement!$B:$B,B27,Measurement!$H:$H)=0,D27*I27,F27*I27)</f>
        <v/>
      </c>
      <c r="L27">
        <f>J27+K27</f>
        <v/>
      </c>
      <c r="M27" t="n">
        <v>0</v>
      </c>
      <c r="N27">
        <f>L27+M27</f>
        <v/>
      </c>
      <c r="O27">
        <f>N27*12</f>
        <v/>
      </c>
    </row>
    <row r="28">
      <c r="A28">
        <f>Measurement!A26</f>
        <v/>
      </c>
      <c r="B28">
        <f>Measurement!B26</f>
        <v/>
      </c>
      <c r="C28">
        <f>Measurement!G26</f>
        <v/>
      </c>
      <c r="D28">
        <f>IF(SUMIF(Measurement!$B:$B,B28,Measurement!$G:$G)=0,0,C28/SUMIF(Measurement!$B:$B,B28,Measurement!$G:$G))</f>
        <v/>
      </c>
      <c r="E28">
        <f>Measurement!H26</f>
        <v/>
      </c>
      <c r="F28">
        <f>IF(SUMIF(Measurement!$B:$B,B28,Measurement!$H:$H)=0,0,E28/SUMIF(Measurement!$B:$B,B28,Measurement!$H:$H))</f>
        <v/>
      </c>
      <c r="G28">
        <f>IFERROR(VLOOKUP(B28,Environments!$A$5:$I$50,4,FALSE),0)</f>
        <v/>
      </c>
      <c r="H28">
        <f>IFERROR(VLOOKUP(B28,Environments!$A$5:$I$50,5,FALSE),0)</f>
        <v/>
      </c>
      <c r="I28">
        <f>IFERROR(VLOOKUP(B28,Environments!$A$5:$I$50,9,FALSE),0)</f>
        <v/>
      </c>
      <c r="J28">
        <f>(D28*G28+F28*H28)*Global!$B$3</f>
        <v/>
      </c>
      <c r="K28">
        <f>IF(SUMIF(Measurement!$B:$B,B28,Measurement!$H:$H)=0,D28*I28,F28*I28)</f>
        <v/>
      </c>
      <c r="L28">
        <f>J28+K28</f>
        <v/>
      </c>
      <c r="M28" t="n">
        <v>0</v>
      </c>
      <c r="N28">
        <f>L28+M28</f>
        <v/>
      </c>
      <c r="O28">
        <f>N28*12</f>
        <v/>
      </c>
    </row>
    <row r="29">
      <c r="A29">
        <f>Measurement!A27</f>
        <v/>
      </c>
      <c r="B29">
        <f>Measurement!B27</f>
        <v/>
      </c>
      <c r="C29">
        <f>Measurement!G27</f>
        <v/>
      </c>
      <c r="D29">
        <f>IF(SUMIF(Measurement!$B:$B,B29,Measurement!$G:$G)=0,0,C29/SUMIF(Measurement!$B:$B,B29,Measurement!$G:$G))</f>
        <v/>
      </c>
      <c r="E29">
        <f>Measurement!H27</f>
        <v/>
      </c>
      <c r="F29">
        <f>IF(SUMIF(Measurement!$B:$B,B29,Measurement!$H:$H)=0,0,E29/SUMIF(Measurement!$B:$B,B29,Measurement!$H:$H))</f>
        <v/>
      </c>
      <c r="G29">
        <f>IFERROR(VLOOKUP(B29,Environments!$A$5:$I$50,4,FALSE),0)</f>
        <v/>
      </c>
      <c r="H29">
        <f>IFERROR(VLOOKUP(B29,Environments!$A$5:$I$50,5,FALSE),0)</f>
        <v/>
      </c>
      <c r="I29">
        <f>IFERROR(VLOOKUP(B29,Environments!$A$5:$I$50,9,FALSE),0)</f>
        <v/>
      </c>
      <c r="J29">
        <f>(D29*G29+F29*H29)*Global!$B$3</f>
        <v/>
      </c>
      <c r="K29">
        <f>IF(SUMIF(Measurement!$B:$B,B29,Measurement!$H:$H)=0,D29*I29,F29*I29)</f>
        <v/>
      </c>
      <c r="L29">
        <f>J29+K29</f>
        <v/>
      </c>
      <c r="M29" t="n">
        <v>0</v>
      </c>
      <c r="N29">
        <f>L29+M29</f>
        <v/>
      </c>
      <c r="O29">
        <f>N29*12</f>
        <v/>
      </c>
    </row>
    <row r="30">
      <c r="A30">
        <f>Measurement!A28</f>
        <v/>
      </c>
      <c r="B30">
        <f>Measurement!B28</f>
        <v/>
      </c>
      <c r="C30">
        <f>Measurement!G28</f>
        <v/>
      </c>
      <c r="D30">
        <f>IF(SUMIF(Measurement!$B:$B,B30,Measurement!$G:$G)=0,0,C30/SUMIF(Measurement!$B:$B,B30,Measurement!$G:$G))</f>
        <v/>
      </c>
      <c r="E30">
        <f>Measurement!H28</f>
        <v/>
      </c>
      <c r="F30">
        <f>IF(SUMIF(Measurement!$B:$B,B30,Measurement!$H:$H)=0,0,E30/SUMIF(Measurement!$B:$B,B30,Measurement!$H:$H))</f>
        <v/>
      </c>
      <c r="G30">
        <f>IFERROR(VLOOKUP(B30,Environments!$A$5:$I$50,4,FALSE),0)</f>
        <v/>
      </c>
      <c r="H30">
        <f>IFERROR(VLOOKUP(B30,Environments!$A$5:$I$50,5,FALSE),0)</f>
        <v/>
      </c>
      <c r="I30">
        <f>IFERROR(VLOOKUP(B30,Environments!$A$5:$I$50,9,FALSE),0)</f>
        <v/>
      </c>
      <c r="J30">
        <f>(D30*G30+F30*H30)*Global!$B$3</f>
        <v/>
      </c>
      <c r="K30">
        <f>IF(SUMIF(Measurement!$B:$B,B30,Measurement!$H:$H)=0,D30*I30,F30*I30)</f>
        <v/>
      </c>
      <c r="L30">
        <f>J30+K30</f>
        <v/>
      </c>
      <c r="M30" t="n">
        <v>0</v>
      </c>
      <c r="N30">
        <f>L30+M30</f>
        <v/>
      </c>
      <c r="O30">
        <f>N30*12</f>
        <v/>
      </c>
    </row>
    <row r="31">
      <c r="A31">
        <f>Measurement!A29</f>
        <v/>
      </c>
      <c r="B31">
        <f>Measurement!B29</f>
        <v/>
      </c>
      <c r="C31">
        <f>Measurement!G29</f>
        <v/>
      </c>
      <c r="D31">
        <f>IF(SUMIF(Measurement!$B:$B,B31,Measurement!$G:$G)=0,0,C31/SUMIF(Measurement!$B:$B,B31,Measurement!$G:$G))</f>
        <v/>
      </c>
      <c r="E31">
        <f>Measurement!H29</f>
        <v/>
      </c>
      <c r="F31">
        <f>IF(SUMIF(Measurement!$B:$B,B31,Measurement!$H:$H)=0,0,E31/SUMIF(Measurement!$B:$B,B31,Measurement!$H:$H))</f>
        <v/>
      </c>
      <c r="G31">
        <f>IFERROR(VLOOKUP(B31,Environments!$A$5:$I$50,4,FALSE),0)</f>
        <v/>
      </c>
      <c r="H31">
        <f>IFERROR(VLOOKUP(B31,Environments!$A$5:$I$50,5,FALSE),0)</f>
        <v/>
      </c>
      <c r="I31">
        <f>IFERROR(VLOOKUP(B31,Environments!$A$5:$I$50,9,FALSE),0)</f>
        <v/>
      </c>
      <c r="J31">
        <f>(D31*G31+F31*H31)*Global!$B$3</f>
        <v/>
      </c>
      <c r="K31">
        <f>IF(SUMIF(Measurement!$B:$B,B31,Measurement!$H:$H)=0,D31*I31,F31*I31)</f>
        <v/>
      </c>
      <c r="L31">
        <f>J31+K31</f>
        <v/>
      </c>
      <c r="M31" t="n">
        <v>0</v>
      </c>
      <c r="N31">
        <f>L31+M31</f>
        <v/>
      </c>
      <c r="O31">
        <f>N31*12</f>
        <v/>
      </c>
    </row>
    <row r="32">
      <c r="A32">
        <f>Measurement!A30</f>
        <v/>
      </c>
      <c r="B32">
        <f>Measurement!B30</f>
        <v/>
      </c>
      <c r="C32">
        <f>Measurement!G30</f>
        <v/>
      </c>
      <c r="D32">
        <f>IF(SUMIF(Measurement!$B:$B,B32,Measurement!$G:$G)=0,0,C32/SUMIF(Measurement!$B:$B,B32,Measurement!$G:$G))</f>
        <v/>
      </c>
      <c r="E32">
        <f>Measurement!H30</f>
        <v/>
      </c>
      <c r="F32">
        <f>IF(SUMIF(Measurement!$B:$B,B32,Measurement!$H:$H)=0,0,E32/SUMIF(Measurement!$B:$B,B32,Measurement!$H:$H))</f>
        <v/>
      </c>
      <c r="G32">
        <f>IFERROR(VLOOKUP(B32,Environments!$A$5:$I$50,4,FALSE),0)</f>
        <v/>
      </c>
      <c r="H32">
        <f>IFERROR(VLOOKUP(B32,Environments!$A$5:$I$50,5,FALSE),0)</f>
        <v/>
      </c>
      <c r="I32">
        <f>IFERROR(VLOOKUP(B32,Environments!$A$5:$I$50,9,FALSE),0)</f>
        <v/>
      </c>
      <c r="J32">
        <f>(D32*G32+F32*H32)*Global!$B$3</f>
        <v/>
      </c>
      <c r="K32">
        <f>IF(SUMIF(Measurement!$B:$B,B32,Measurement!$H:$H)=0,D32*I32,F32*I32)</f>
        <v/>
      </c>
      <c r="L32">
        <f>J32+K32</f>
        <v/>
      </c>
      <c r="M32" t="n">
        <v>0</v>
      </c>
      <c r="N32">
        <f>L32+M32</f>
        <v/>
      </c>
      <c r="O32">
        <f>N32*12</f>
        <v/>
      </c>
    </row>
    <row r="33">
      <c r="A33">
        <f>Measurement!A31</f>
        <v/>
      </c>
      <c r="B33">
        <f>Measurement!B31</f>
        <v/>
      </c>
      <c r="C33">
        <f>Measurement!G31</f>
        <v/>
      </c>
      <c r="D33">
        <f>IF(SUMIF(Measurement!$B:$B,B33,Measurement!$G:$G)=0,0,C33/SUMIF(Measurement!$B:$B,B33,Measurement!$G:$G))</f>
        <v/>
      </c>
      <c r="E33">
        <f>Measurement!H31</f>
        <v/>
      </c>
      <c r="F33">
        <f>IF(SUMIF(Measurement!$B:$B,B33,Measurement!$H:$H)=0,0,E33/SUMIF(Measurement!$B:$B,B33,Measurement!$H:$H))</f>
        <v/>
      </c>
      <c r="G33">
        <f>IFERROR(VLOOKUP(B33,Environments!$A$5:$I$50,4,FALSE),0)</f>
        <v/>
      </c>
      <c r="H33">
        <f>IFERROR(VLOOKUP(B33,Environments!$A$5:$I$50,5,FALSE),0)</f>
        <v/>
      </c>
      <c r="I33">
        <f>IFERROR(VLOOKUP(B33,Environments!$A$5:$I$50,9,FALSE),0)</f>
        <v/>
      </c>
      <c r="J33">
        <f>(D33*G33+F33*H33)*Global!$B$3</f>
        <v/>
      </c>
      <c r="K33">
        <f>IF(SUMIF(Measurement!$B:$B,B33,Measurement!$H:$H)=0,D33*I33,F33*I33)</f>
        <v/>
      </c>
      <c r="L33">
        <f>J33+K33</f>
        <v/>
      </c>
      <c r="M33" t="n">
        <v>0</v>
      </c>
      <c r="N33">
        <f>L33+M33</f>
        <v/>
      </c>
      <c r="O33">
        <f>N33*12</f>
        <v/>
      </c>
    </row>
    <row r="34">
      <c r="A34">
        <f>Measurement!A32</f>
        <v/>
      </c>
      <c r="B34">
        <f>Measurement!B32</f>
        <v/>
      </c>
      <c r="C34">
        <f>Measurement!G32</f>
        <v/>
      </c>
      <c r="D34">
        <f>IF(SUMIF(Measurement!$B:$B,B34,Measurement!$G:$G)=0,0,C34/SUMIF(Measurement!$B:$B,B34,Measurement!$G:$G))</f>
        <v/>
      </c>
      <c r="E34">
        <f>Measurement!H32</f>
        <v/>
      </c>
      <c r="F34">
        <f>IF(SUMIF(Measurement!$B:$B,B34,Measurement!$H:$H)=0,0,E34/SUMIF(Measurement!$B:$B,B34,Measurement!$H:$H))</f>
        <v/>
      </c>
      <c r="G34">
        <f>IFERROR(VLOOKUP(B34,Environments!$A$5:$I$50,4,FALSE),0)</f>
        <v/>
      </c>
      <c r="H34">
        <f>IFERROR(VLOOKUP(B34,Environments!$A$5:$I$50,5,FALSE),0)</f>
        <v/>
      </c>
      <c r="I34">
        <f>IFERROR(VLOOKUP(B34,Environments!$A$5:$I$50,9,FALSE),0)</f>
        <v/>
      </c>
      <c r="J34">
        <f>(D34*G34+F34*H34)*Global!$B$3</f>
        <v/>
      </c>
      <c r="K34">
        <f>IF(SUMIF(Measurement!$B:$B,B34,Measurement!$H:$H)=0,D34*I34,F34*I34)</f>
        <v/>
      </c>
      <c r="L34">
        <f>J34+K34</f>
        <v/>
      </c>
      <c r="M34" t="n">
        <v>0</v>
      </c>
      <c r="N34">
        <f>L34+M34</f>
        <v/>
      </c>
      <c r="O34">
        <f>N34*12</f>
        <v/>
      </c>
    </row>
    <row r="35">
      <c r="A35">
        <f>Measurement!A33</f>
        <v/>
      </c>
      <c r="B35">
        <f>Measurement!B33</f>
        <v/>
      </c>
      <c r="C35">
        <f>Measurement!G33</f>
        <v/>
      </c>
      <c r="D35">
        <f>IF(SUMIF(Measurement!$B:$B,B35,Measurement!$G:$G)=0,0,C35/SUMIF(Measurement!$B:$B,B35,Measurement!$G:$G))</f>
        <v/>
      </c>
      <c r="E35">
        <f>Measurement!H33</f>
        <v/>
      </c>
      <c r="F35">
        <f>IF(SUMIF(Measurement!$B:$B,B35,Measurement!$H:$H)=0,0,E35/SUMIF(Measurement!$B:$B,B35,Measurement!$H:$H))</f>
        <v/>
      </c>
      <c r="G35">
        <f>IFERROR(VLOOKUP(B35,Environments!$A$5:$I$50,4,FALSE),0)</f>
        <v/>
      </c>
      <c r="H35">
        <f>IFERROR(VLOOKUP(B35,Environments!$A$5:$I$50,5,FALSE),0)</f>
        <v/>
      </c>
      <c r="I35">
        <f>IFERROR(VLOOKUP(B35,Environments!$A$5:$I$50,9,FALSE),0)</f>
        <v/>
      </c>
      <c r="J35">
        <f>(D35*G35+F35*H35)*Global!$B$3</f>
        <v/>
      </c>
      <c r="K35">
        <f>IF(SUMIF(Measurement!$B:$B,B35,Measurement!$H:$H)=0,D35*I35,F35*I35)</f>
        <v/>
      </c>
      <c r="L35">
        <f>J35+K35</f>
        <v/>
      </c>
      <c r="M35" t="n">
        <v>0</v>
      </c>
      <c r="N35">
        <f>L35+M35</f>
        <v/>
      </c>
      <c r="O35">
        <f>N35*12</f>
        <v/>
      </c>
    </row>
    <row r="36">
      <c r="A36">
        <f>Measurement!A34</f>
        <v/>
      </c>
      <c r="B36">
        <f>Measurement!B34</f>
        <v/>
      </c>
      <c r="C36">
        <f>Measurement!G34</f>
        <v/>
      </c>
      <c r="D36">
        <f>IF(SUMIF(Measurement!$B:$B,B36,Measurement!$G:$G)=0,0,C36/SUMIF(Measurement!$B:$B,B36,Measurement!$G:$G))</f>
        <v/>
      </c>
      <c r="E36">
        <f>Measurement!H34</f>
        <v/>
      </c>
      <c r="F36">
        <f>IF(SUMIF(Measurement!$B:$B,B36,Measurement!$H:$H)=0,0,E36/SUMIF(Measurement!$B:$B,B36,Measurement!$H:$H))</f>
        <v/>
      </c>
      <c r="G36">
        <f>IFERROR(VLOOKUP(B36,Environments!$A$5:$I$50,4,FALSE),0)</f>
        <v/>
      </c>
      <c r="H36">
        <f>IFERROR(VLOOKUP(B36,Environments!$A$5:$I$50,5,FALSE),0)</f>
        <v/>
      </c>
      <c r="I36">
        <f>IFERROR(VLOOKUP(B36,Environments!$A$5:$I$50,9,FALSE),0)</f>
        <v/>
      </c>
      <c r="J36">
        <f>(D36*G36+F36*H36)*Global!$B$3</f>
        <v/>
      </c>
      <c r="K36">
        <f>IF(SUMIF(Measurement!$B:$B,B36,Measurement!$H:$H)=0,D36*I36,F36*I36)</f>
        <v/>
      </c>
      <c r="L36">
        <f>J36+K36</f>
        <v/>
      </c>
      <c r="M36" t="n">
        <v>0</v>
      </c>
      <c r="N36">
        <f>L36+M36</f>
        <v/>
      </c>
      <c r="O36">
        <f>N36*12</f>
        <v/>
      </c>
    </row>
    <row r="37">
      <c r="A37">
        <f>Measurement!A35</f>
        <v/>
      </c>
      <c r="B37">
        <f>Measurement!B35</f>
        <v/>
      </c>
      <c r="C37">
        <f>Measurement!G35</f>
        <v/>
      </c>
      <c r="D37">
        <f>IF(SUMIF(Measurement!$B:$B,B37,Measurement!$G:$G)=0,0,C37/SUMIF(Measurement!$B:$B,B37,Measurement!$G:$G))</f>
        <v/>
      </c>
      <c r="E37">
        <f>Measurement!H35</f>
        <v/>
      </c>
      <c r="F37">
        <f>IF(SUMIF(Measurement!$B:$B,B37,Measurement!$H:$H)=0,0,E37/SUMIF(Measurement!$B:$B,B37,Measurement!$H:$H))</f>
        <v/>
      </c>
      <c r="G37">
        <f>IFERROR(VLOOKUP(B37,Environments!$A$5:$I$50,4,FALSE),0)</f>
        <v/>
      </c>
      <c r="H37">
        <f>IFERROR(VLOOKUP(B37,Environments!$A$5:$I$50,5,FALSE),0)</f>
        <v/>
      </c>
      <c r="I37">
        <f>IFERROR(VLOOKUP(B37,Environments!$A$5:$I$50,9,FALSE),0)</f>
        <v/>
      </c>
      <c r="J37">
        <f>(D37*G37+F37*H37)*Global!$B$3</f>
        <v/>
      </c>
      <c r="K37">
        <f>IF(SUMIF(Measurement!$B:$B,B37,Measurement!$H:$H)=0,D37*I37,F37*I37)</f>
        <v/>
      </c>
      <c r="L37">
        <f>J37+K37</f>
        <v/>
      </c>
      <c r="M37" t="n">
        <v>0</v>
      </c>
      <c r="N37">
        <f>L37+M37</f>
        <v/>
      </c>
      <c r="O37">
        <f>N37*12</f>
        <v/>
      </c>
    </row>
    <row r="38">
      <c r="A38">
        <f>Measurement!A36</f>
        <v/>
      </c>
      <c r="B38">
        <f>Measurement!B36</f>
        <v/>
      </c>
      <c r="C38">
        <f>Measurement!G36</f>
        <v/>
      </c>
      <c r="D38">
        <f>IF(SUMIF(Measurement!$B:$B,B38,Measurement!$G:$G)=0,0,C38/SUMIF(Measurement!$B:$B,B38,Measurement!$G:$G))</f>
        <v/>
      </c>
      <c r="E38">
        <f>Measurement!H36</f>
        <v/>
      </c>
      <c r="F38">
        <f>IF(SUMIF(Measurement!$B:$B,B38,Measurement!$H:$H)=0,0,E38/SUMIF(Measurement!$B:$B,B38,Measurement!$H:$H))</f>
        <v/>
      </c>
      <c r="G38">
        <f>IFERROR(VLOOKUP(B38,Environments!$A$5:$I$50,4,FALSE),0)</f>
        <v/>
      </c>
      <c r="H38">
        <f>IFERROR(VLOOKUP(B38,Environments!$A$5:$I$50,5,FALSE),0)</f>
        <v/>
      </c>
      <c r="I38">
        <f>IFERROR(VLOOKUP(B38,Environments!$A$5:$I$50,9,FALSE),0)</f>
        <v/>
      </c>
      <c r="J38">
        <f>(D38*G38+F38*H38)*Global!$B$3</f>
        <v/>
      </c>
      <c r="K38">
        <f>IF(SUMIF(Measurement!$B:$B,B38,Measurement!$H:$H)=0,D38*I38,F38*I38)</f>
        <v/>
      </c>
      <c r="L38">
        <f>J38+K38</f>
        <v/>
      </c>
      <c r="M38" t="n">
        <v>0</v>
      </c>
      <c r="N38">
        <f>L38+M38</f>
        <v/>
      </c>
      <c r="O38">
        <f>N38*12</f>
        <v/>
      </c>
    </row>
    <row r="39">
      <c r="A39">
        <f>Measurement!A37</f>
        <v/>
      </c>
      <c r="B39">
        <f>Measurement!B37</f>
        <v/>
      </c>
      <c r="C39">
        <f>Measurement!G37</f>
        <v/>
      </c>
      <c r="D39">
        <f>IF(SUMIF(Measurement!$B:$B,B39,Measurement!$G:$G)=0,0,C39/SUMIF(Measurement!$B:$B,B39,Measurement!$G:$G))</f>
        <v/>
      </c>
      <c r="E39">
        <f>Measurement!H37</f>
        <v/>
      </c>
      <c r="F39">
        <f>IF(SUMIF(Measurement!$B:$B,B39,Measurement!$H:$H)=0,0,E39/SUMIF(Measurement!$B:$B,B39,Measurement!$H:$H))</f>
        <v/>
      </c>
      <c r="G39">
        <f>IFERROR(VLOOKUP(B39,Environments!$A$5:$I$50,4,FALSE),0)</f>
        <v/>
      </c>
      <c r="H39">
        <f>IFERROR(VLOOKUP(B39,Environments!$A$5:$I$50,5,FALSE),0)</f>
        <v/>
      </c>
      <c r="I39">
        <f>IFERROR(VLOOKUP(B39,Environments!$A$5:$I$50,9,FALSE),0)</f>
        <v/>
      </c>
      <c r="J39">
        <f>(D39*G39+F39*H39)*Global!$B$3</f>
        <v/>
      </c>
      <c r="K39">
        <f>IF(SUMIF(Measurement!$B:$B,B39,Measurement!$H:$H)=0,D39*I39,F39*I39)</f>
        <v/>
      </c>
      <c r="L39">
        <f>J39+K39</f>
        <v/>
      </c>
      <c r="M39" t="n">
        <v>0</v>
      </c>
      <c r="N39">
        <f>L39+M39</f>
        <v/>
      </c>
      <c r="O39">
        <f>N39*12</f>
        <v/>
      </c>
    </row>
    <row r="40">
      <c r="A40">
        <f>Measurement!A38</f>
        <v/>
      </c>
      <c r="B40">
        <f>Measurement!B38</f>
        <v/>
      </c>
      <c r="C40">
        <f>Measurement!G38</f>
        <v/>
      </c>
      <c r="D40">
        <f>IF(SUMIF(Measurement!$B:$B,B40,Measurement!$G:$G)=0,0,C40/SUMIF(Measurement!$B:$B,B40,Measurement!$G:$G))</f>
        <v/>
      </c>
      <c r="E40">
        <f>Measurement!H38</f>
        <v/>
      </c>
      <c r="F40">
        <f>IF(SUMIF(Measurement!$B:$B,B40,Measurement!$H:$H)=0,0,E40/SUMIF(Measurement!$B:$B,B40,Measurement!$H:$H))</f>
        <v/>
      </c>
      <c r="G40">
        <f>IFERROR(VLOOKUP(B40,Environments!$A$5:$I$50,4,FALSE),0)</f>
        <v/>
      </c>
      <c r="H40">
        <f>IFERROR(VLOOKUP(B40,Environments!$A$5:$I$50,5,FALSE),0)</f>
        <v/>
      </c>
      <c r="I40">
        <f>IFERROR(VLOOKUP(B40,Environments!$A$5:$I$50,9,FALSE),0)</f>
        <v/>
      </c>
      <c r="J40">
        <f>(D40*G40+F40*H40)*Global!$B$3</f>
        <v/>
      </c>
      <c r="K40">
        <f>IF(SUMIF(Measurement!$B:$B,B40,Measurement!$H:$H)=0,D40*I40,F40*I40)</f>
        <v/>
      </c>
      <c r="L40">
        <f>J40+K40</f>
        <v/>
      </c>
      <c r="M40" t="n">
        <v>0</v>
      </c>
      <c r="N40">
        <f>L40+M40</f>
        <v/>
      </c>
      <c r="O40">
        <f>N40*12</f>
        <v/>
      </c>
    </row>
    <row r="41">
      <c r="A41">
        <f>Measurement!A39</f>
        <v/>
      </c>
      <c r="B41">
        <f>Measurement!B39</f>
        <v/>
      </c>
      <c r="C41">
        <f>Measurement!G39</f>
        <v/>
      </c>
      <c r="D41">
        <f>IF(SUMIF(Measurement!$B:$B,B41,Measurement!$G:$G)=0,0,C41/SUMIF(Measurement!$B:$B,B41,Measurement!$G:$G))</f>
        <v/>
      </c>
      <c r="E41">
        <f>Measurement!H39</f>
        <v/>
      </c>
      <c r="F41">
        <f>IF(SUMIF(Measurement!$B:$B,B41,Measurement!$H:$H)=0,0,E41/SUMIF(Measurement!$B:$B,B41,Measurement!$H:$H))</f>
        <v/>
      </c>
      <c r="G41">
        <f>IFERROR(VLOOKUP(B41,Environments!$A$5:$I$50,4,FALSE),0)</f>
        <v/>
      </c>
      <c r="H41">
        <f>IFERROR(VLOOKUP(B41,Environments!$A$5:$I$50,5,FALSE),0)</f>
        <v/>
      </c>
      <c r="I41">
        <f>IFERROR(VLOOKUP(B41,Environments!$A$5:$I$50,9,FALSE),0)</f>
        <v/>
      </c>
      <c r="J41">
        <f>(D41*G41+F41*H41)*Global!$B$3</f>
        <v/>
      </c>
      <c r="K41">
        <f>IF(SUMIF(Measurement!$B:$B,B41,Measurement!$H:$H)=0,D41*I41,F41*I41)</f>
        <v/>
      </c>
      <c r="L41">
        <f>J41+K41</f>
        <v/>
      </c>
      <c r="M41" t="n">
        <v>0</v>
      </c>
      <c r="N41">
        <f>L41+M41</f>
        <v/>
      </c>
      <c r="O41">
        <f>N41*12</f>
        <v/>
      </c>
    </row>
    <row r="42">
      <c r="A42">
        <f>Measurement!A40</f>
        <v/>
      </c>
      <c r="B42">
        <f>Measurement!B40</f>
        <v/>
      </c>
      <c r="C42">
        <f>Measurement!G40</f>
        <v/>
      </c>
      <c r="D42">
        <f>IF(SUMIF(Measurement!$B:$B,B42,Measurement!$G:$G)=0,0,C42/SUMIF(Measurement!$B:$B,B42,Measurement!$G:$G))</f>
        <v/>
      </c>
      <c r="E42">
        <f>Measurement!H40</f>
        <v/>
      </c>
      <c r="F42">
        <f>IF(SUMIF(Measurement!$B:$B,B42,Measurement!$H:$H)=0,0,E42/SUMIF(Measurement!$B:$B,B42,Measurement!$H:$H))</f>
        <v/>
      </c>
      <c r="G42">
        <f>IFERROR(VLOOKUP(B42,Environments!$A$5:$I$50,4,FALSE),0)</f>
        <v/>
      </c>
      <c r="H42">
        <f>IFERROR(VLOOKUP(B42,Environments!$A$5:$I$50,5,FALSE),0)</f>
        <v/>
      </c>
      <c r="I42">
        <f>IFERROR(VLOOKUP(B42,Environments!$A$5:$I$50,9,FALSE),0)</f>
        <v/>
      </c>
      <c r="J42">
        <f>(D42*G42+F42*H42)*Global!$B$3</f>
        <v/>
      </c>
      <c r="K42">
        <f>IF(SUMIF(Measurement!$B:$B,B42,Measurement!$H:$H)=0,D42*I42,F42*I42)</f>
        <v/>
      </c>
      <c r="L42">
        <f>J42+K42</f>
        <v/>
      </c>
      <c r="M42" t="n">
        <v>0</v>
      </c>
      <c r="N42">
        <f>L42+M42</f>
        <v/>
      </c>
      <c r="O42">
        <f>N42*12</f>
        <v/>
      </c>
    </row>
    <row r="43">
      <c r="A43">
        <f>Measurement!A41</f>
        <v/>
      </c>
      <c r="B43">
        <f>Measurement!B41</f>
        <v/>
      </c>
      <c r="C43">
        <f>Measurement!G41</f>
        <v/>
      </c>
      <c r="D43">
        <f>IF(SUMIF(Measurement!$B:$B,B43,Measurement!$G:$G)=0,0,C43/SUMIF(Measurement!$B:$B,B43,Measurement!$G:$G))</f>
        <v/>
      </c>
      <c r="E43">
        <f>Measurement!H41</f>
        <v/>
      </c>
      <c r="F43">
        <f>IF(SUMIF(Measurement!$B:$B,B43,Measurement!$H:$H)=0,0,E43/SUMIF(Measurement!$B:$B,B43,Measurement!$H:$H))</f>
        <v/>
      </c>
      <c r="G43">
        <f>IFERROR(VLOOKUP(B43,Environments!$A$5:$I$50,4,FALSE),0)</f>
        <v/>
      </c>
      <c r="H43">
        <f>IFERROR(VLOOKUP(B43,Environments!$A$5:$I$50,5,FALSE),0)</f>
        <v/>
      </c>
      <c r="I43">
        <f>IFERROR(VLOOKUP(B43,Environments!$A$5:$I$50,9,FALSE),0)</f>
        <v/>
      </c>
      <c r="J43">
        <f>(D43*G43+F43*H43)*Global!$B$3</f>
        <v/>
      </c>
      <c r="K43">
        <f>IF(SUMIF(Measurement!$B:$B,B43,Measurement!$H:$H)=0,D43*I43,F43*I43)</f>
        <v/>
      </c>
      <c r="L43">
        <f>J43+K43</f>
        <v/>
      </c>
      <c r="M43" t="n">
        <v>0</v>
      </c>
      <c r="N43">
        <f>L43+M43</f>
        <v/>
      </c>
      <c r="O43">
        <f>N43*12</f>
        <v/>
      </c>
    </row>
    <row r="44">
      <c r="A44">
        <f>Measurement!A42</f>
        <v/>
      </c>
      <c r="B44">
        <f>Measurement!B42</f>
        <v/>
      </c>
      <c r="C44">
        <f>Measurement!G42</f>
        <v/>
      </c>
      <c r="D44">
        <f>IF(SUMIF(Measurement!$B:$B,B44,Measurement!$G:$G)=0,0,C44/SUMIF(Measurement!$B:$B,B44,Measurement!$G:$G))</f>
        <v/>
      </c>
      <c r="E44">
        <f>Measurement!H42</f>
        <v/>
      </c>
      <c r="F44">
        <f>IF(SUMIF(Measurement!$B:$B,B44,Measurement!$H:$H)=0,0,E44/SUMIF(Measurement!$B:$B,B44,Measurement!$H:$H))</f>
        <v/>
      </c>
      <c r="G44">
        <f>IFERROR(VLOOKUP(B44,Environments!$A$5:$I$50,4,FALSE),0)</f>
        <v/>
      </c>
      <c r="H44">
        <f>IFERROR(VLOOKUP(B44,Environments!$A$5:$I$50,5,FALSE),0)</f>
        <v/>
      </c>
      <c r="I44">
        <f>IFERROR(VLOOKUP(B44,Environments!$A$5:$I$50,9,FALSE),0)</f>
        <v/>
      </c>
      <c r="J44">
        <f>(D44*G44+F44*H44)*Global!$B$3</f>
        <v/>
      </c>
      <c r="K44">
        <f>IF(SUMIF(Measurement!$B:$B,B44,Measurement!$H:$H)=0,D44*I44,F44*I44)</f>
        <v/>
      </c>
      <c r="L44">
        <f>J44+K44</f>
        <v/>
      </c>
      <c r="M44" t="n">
        <v>0</v>
      </c>
      <c r="N44">
        <f>L44+M44</f>
        <v/>
      </c>
      <c r="O44">
        <f>N44*12</f>
        <v/>
      </c>
    </row>
    <row r="45">
      <c r="A45">
        <f>Measurement!A43</f>
        <v/>
      </c>
      <c r="B45">
        <f>Measurement!B43</f>
        <v/>
      </c>
      <c r="C45">
        <f>Measurement!G43</f>
        <v/>
      </c>
      <c r="D45">
        <f>IF(SUMIF(Measurement!$B:$B,B45,Measurement!$G:$G)=0,0,C45/SUMIF(Measurement!$B:$B,B45,Measurement!$G:$G))</f>
        <v/>
      </c>
      <c r="E45">
        <f>Measurement!H43</f>
        <v/>
      </c>
      <c r="F45">
        <f>IF(SUMIF(Measurement!$B:$B,B45,Measurement!$H:$H)=0,0,E45/SUMIF(Measurement!$B:$B,B45,Measurement!$H:$H))</f>
        <v/>
      </c>
      <c r="G45">
        <f>IFERROR(VLOOKUP(B45,Environments!$A$5:$I$50,4,FALSE),0)</f>
        <v/>
      </c>
      <c r="H45">
        <f>IFERROR(VLOOKUP(B45,Environments!$A$5:$I$50,5,FALSE),0)</f>
        <v/>
      </c>
      <c r="I45">
        <f>IFERROR(VLOOKUP(B45,Environments!$A$5:$I$50,9,FALSE),0)</f>
        <v/>
      </c>
      <c r="J45">
        <f>(D45*G45+F45*H45)*Global!$B$3</f>
        <v/>
      </c>
      <c r="K45">
        <f>IF(SUMIF(Measurement!$B:$B,B45,Measurement!$H:$H)=0,D45*I45,F45*I45)</f>
        <v/>
      </c>
      <c r="L45">
        <f>J45+K45</f>
        <v/>
      </c>
      <c r="M45" t="n">
        <v>0</v>
      </c>
      <c r="N45">
        <f>L45+M45</f>
        <v/>
      </c>
      <c r="O45">
        <f>N45*12</f>
        <v/>
      </c>
    </row>
    <row r="46">
      <c r="A46">
        <f>Measurement!A44</f>
        <v/>
      </c>
      <c r="B46">
        <f>Measurement!B44</f>
        <v/>
      </c>
      <c r="C46">
        <f>Measurement!G44</f>
        <v/>
      </c>
      <c r="D46">
        <f>IF(SUMIF(Measurement!$B:$B,B46,Measurement!$G:$G)=0,0,C46/SUMIF(Measurement!$B:$B,B46,Measurement!$G:$G))</f>
        <v/>
      </c>
      <c r="E46">
        <f>Measurement!H44</f>
        <v/>
      </c>
      <c r="F46">
        <f>IF(SUMIF(Measurement!$B:$B,B46,Measurement!$H:$H)=0,0,E46/SUMIF(Measurement!$B:$B,B46,Measurement!$H:$H))</f>
        <v/>
      </c>
      <c r="G46">
        <f>IFERROR(VLOOKUP(B46,Environments!$A$5:$I$50,4,FALSE),0)</f>
        <v/>
      </c>
      <c r="H46">
        <f>IFERROR(VLOOKUP(B46,Environments!$A$5:$I$50,5,FALSE),0)</f>
        <v/>
      </c>
      <c r="I46">
        <f>IFERROR(VLOOKUP(B46,Environments!$A$5:$I$50,9,FALSE),0)</f>
        <v/>
      </c>
      <c r="J46">
        <f>(D46*G46+F46*H46)*Global!$B$3</f>
        <v/>
      </c>
      <c r="K46">
        <f>IF(SUMIF(Measurement!$B:$B,B46,Measurement!$H:$H)=0,D46*I46,F46*I46)</f>
        <v/>
      </c>
      <c r="L46">
        <f>J46+K46</f>
        <v/>
      </c>
      <c r="M46" t="n">
        <v>0</v>
      </c>
      <c r="N46">
        <f>L46+M46</f>
        <v/>
      </c>
      <c r="O46">
        <f>N46*12</f>
        <v/>
      </c>
    </row>
    <row r="47">
      <c r="A47">
        <f>Measurement!A45</f>
        <v/>
      </c>
      <c r="B47">
        <f>Measurement!B45</f>
        <v/>
      </c>
      <c r="C47">
        <f>Measurement!G45</f>
        <v/>
      </c>
      <c r="D47">
        <f>IF(SUMIF(Measurement!$B:$B,B47,Measurement!$G:$G)=0,0,C47/SUMIF(Measurement!$B:$B,B47,Measurement!$G:$G))</f>
        <v/>
      </c>
      <c r="E47">
        <f>Measurement!H45</f>
        <v/>
      </c>
      <c r="F47">
        <f>IF(SUMIF(Measurement!$B:$B,B47,Measurement!$H:$H)=0,0,E47/SUMIF(Measurement!$B:$B,B47,Measurement!$H:$H))</f>
        <v/>
      </c>
      <c r="G47">
        <f>IFERROR(VLOOKUP(B47,Environments!$A$5:$I$50,4,FALSE),0)</f>
        <v/>
      </c>
      <c r="H47">
        <f>IFERROR(VLOOKUP(B47,Environments!$A$5:$I$50,5,FALSE),0)</f>
        <v/>
      </c>
      <c r="I47">
        <f>IFERROR(VLOOKUP(B47,Environments!$A$5:$I$50,9,FALSE),0)</f>
        <v/>
      </c>
      <c r="J47">
        <f>(D47*G47+F47*H47)*Global!$B$3</f>
        <v/>
      </c>
      <c r="K47">
        <f>IF(SUMIF(Measurement!$B:$B,B47,Measurement!$H:$H)=0,D47*I47,F47*I47)</f>
        <v/>
      </c>
      <c r="L47">
        <f>J47+K47</f>
        <v/>
      </c>
      <c r="M47" t="n">
        <v>0</v>
      </c>
      <c r="N47">
        <f>L47+M47</f>
        <v/>
      </c>
      <c r="O47">
        <f>N47*12</f>
        <v/>
      </c>
    </row>
    <row r="48">
      <c r="A48">
        <f>Measurement!A46</f>
        <v/>
      </c>
      <c r="B48">
        <f>Measurement!B46</f>
        <v/>
      </c>
      <c r="C48">
        <f>Measurement!G46</f>
        <v/>
      </c>
      <c r="D48">
        <f>IF(SUMIF(Measurement!$B:$B,B48,Measurement!$G:$G)=0,0,C48/SUMIF(Measurement!$B:$B,B48,Measurement!$G:$G))</f>
        <v/>
      </c>
      <c r="E48">
        <f>Measurement!H46</f>
        <v/>
      </c>
      <c r="F48">
        <f>IF(SUMIF(Measurement!$B:$B,B48,Measurement!$H:$H)=0,0,E48/SUMIF(Measurement!$B:$B,B48,Measurement!$H:$H))</f>
        <v/>
      </c>
      <c r="G48">
        <f>IFERROR(VLOOKUP(B48,Environments!$A$5:$I$50,4,FALSE),0)</f>
        <v/>
      </c>
      <c r="H48">
        <f>IFERROR(VLOOKUP(B48,Environments!$A$5:$I$50,5,FALSE),0)</f>
        <v/>
      </c>
      <c r="I48">
        <f>IFERROR(VLOOKUP(B48,Environments!$A$5:$I$50,9,FALSE),0)</f>
        <v/>
      </c>
      <c r="J48">
        <f>(D48*G48+F48*H48)*Global!$B$3</f>
        <v/>
      </c>
      <c r="K48">
        <f>IF(SUMIF(Measurement!$B:$B,B48,Measurement!$H:$H)=0,D48*I48,F48*I48)</f>
        <v/>
      </c>
      <c r="L48">
        <f>J48+K48</f>
        <v/>
      </c>
      <c r="M48" t="n">
        <v>0</v>
      </c>
      <c r="N48">
        <f>L48+M48</f>
        <v/>
      </c>
      <c r="O48">
        <f>N48*12</f>
        <v/>
      </c>
    </row>
    <row r="49">
      <c r="A49">
        <f>Measurement!A47</f>
        <v/>
      </c>
      <c r="B49">
        <f>Measurement!B47</f>
        <v/>
      </c>
      <c r="C49">
        <f>Measurement!G47</f>
        <v/>
      </c>
      <c r="D49">
        <f>IF(SUMIF(Measurement!$B:$B,B49,Measurement!$G:$G)=0,0,C49/SUMIF(Measurement!$B:$B,B49,Measurement!$G:$G))</f>
        <v/>
      </c>
      <c r="E49">
        <f>Measurement!H47</f>
        <v/>
      </c>
      <c r="F49">
        <f>IF(SUMIF(Measurement!$B:$B,B49,Measurement!$H:$H)=0,0,E49/SUMIF(Measurement!$B:$B,B49,Measurement!$H:$H))</f>
        <v/>
      </c>
      <c r="G49">
        <f>IFERROR(VLOOKUP(B49,Environments!$A$5:$I$50,4,FALSE),0)</f>
        <v/>
      </c>
      <c r="H49">
        <f>IFERROR(VLOOKUP(B49,Environments!$A$5:$I$50,5,FALSE),0)</f>
        <v/>
      </c>
      <c r="I49">
        <f>IFERROR(VLOOKUP(B49,Environments!$A$5:$I$50,9,FALSE),0)</f>
        <v/>
      </c>
      <c r="J49">
        <f>(D49*G49+F49*H49)*Global!$B$3</f>
        <v/>
      </c>
      <c r="K49">
        <f>IF(SUMIF(Measurement!$B:$B,B49,Measurement!$H:$H)=0,D49*I49,F49*I49)</f>
        <v/>
      </c>
      <c r="L49">
        <f>J49+K49</f>
        <v/>
      </c>
      <c r="M49" t="n">
        <v>0</v>
      </c>
      <c r="N49">
        <f>L49+M49</f>
        <v/>
      </c>
      <c r="O49">
        <f>N49*12</f>
        <v/>
      </c>
    </row>
    <row r="50">
      <c r="A50">
        <f>Measurement!A48</f>
        <v/>
      </c>
      <c r="B50">
        <f>Measurement!B48</f>
        <v/>
      </c>
      <c r="C50">
        <f>Measurement!G48</f>
        <v/>
      </c>
      <c r="D50">
        <f>IF(SUMIF(Measurement!$B:$B,B50,Measurement!$G:$G)=0,0,C50/SUMIF(Measurement!$B:$B,B50,Measurement!$G:$G))</f>
        <v/>
      </c>
      <c r="E50">
        <f>Measurement!H48</f>
        <v/>
      </c>
      <c r="F50">
        <f>IF(SUMIF(Measurement!$B:$B,B50,Measurement!$H:$H)=0,0,E50/SUMIF(Measurement!$B:$B,B50,Measurement!$H:$H))</f>
        <v/>
      </c>
      <c r="G50">
        <f>IFERROR(VLOOKUP(B50,Environments!$A$5:$I$50,4,FALSE),0)</f>
        <v/>
      </c>
      <c r="H50">
        <f>IFERROR(VLOOKUP(B50,Environments!$A$5:$I$50,5,FALSE),0)</f>
        <v/>
      </c>
      <c r="I50">
        <f>IFERROR(VLOOKUP(B50,Environments!$A$5:$I$50,9,FALSE),0)</f>
        <v/>
      </c>
      <c r="J50">
        <f>(D50*G50+F50*H50)*Global!$B$3</f>
        <v/>
      </c>
      <c r="K50">
        <f>IF(SUMIF(Measurement!$B:$B,B50,Measurement!$H:$H)=0,D50*I50,F50*I50)</f>
        <v/>
      </c>
      <c r="L50">
        <f>J50+K50</f>
        <v/>
      </c>
      <c r="M50" t="n">
        <v>0</v>
      </c>
      <c r="N50">
        <f>L50+M50</f>
        <v/>
      </c>
      <c r="O50">
        <f>N50*12</f>
        <v/>
      </c>
    </row>
    <row r="51">
      <c r="A51">
        <f>Measurement!A49</f>
        <v/>
      </c>
      <c r="B51">
        <f>Measurement!B49</f>
        <v/>
      </c>
      <c r="C51">
        <f>Measurement!G49</f>
        <v/>
      </c>
      <c r="D51">
        <f>IF(SUMIF(Measurement!$B:$B,B51,Measurement!$G:$G)=0,0,C51/SUMIF(Measurement!$B:$B,B51,Measurement!$G:$G))</f>
        <v/>
      </c>
      <c r="E51">
        <f>Measurement!H49</f>
        <v/>
      </c>
      <c r="F51">
        <f>IF(SUMIF(Measurement!$B:$B,B51,Measurement!$H:$H)=0,0,E51/SUMIF(Measurement!$B:$B,B51,Measurement!$H:$H))</f>
        <v/>
      </c>
      <c r="G51">
        <f>IFERROR(VLOOKUP(B51,Environments!$A$5:$I$50,4,FALSE),0)</f>
        <v/>
      </c>
      <c r="H51">
        <f>IFERROR(VLOOKUP(B51,Environments!$A$5:$I$50,5,FALSE),0)</f>
        <v/>
      </c>
      <c r="I51">
        <f>IFERROR(VLOOKUP(B51,Environments!$A$5:$I$50,9,FALSE),0)</f>
        <v/>
      </c>
      <c r="J51">
        <f>(D51*G51+F51*H51)*Global!$B$3</f>
        <v/>
      </c>
      <c r="K51">
        <f>IF(SUMIF(Measurement!$B:$B,B51,Measurement!$H:$H)=0,D51*I51,F51*I51)</f>
        <v/>
      </c>
      <c r="L51">
        <f>J51+K51</f>
        <v/>
      </c>
      <c r="M51" t="n">
        <v>0</v>
      </c>
      <c r="N51">
        <f>L51+M51</f>
        <v/>
      </c>
      <c r="O51">
        <f>N51*12</f>
        <v/>
      </c>
    </row>
    <row r="52">
      <c r="A52">
        <f>Measurement!A50</f>
        <v/>
      </c>
      <c r="B52">
        <f>Measurement!B50</f>
        <v/>
      </c>
      <c r="C52">
        <f>Measurement!G50</f>
        <v/>
      </c>
      <c r="D52">
        <f>IF(SUMIF(Measurement!$B:$B,B52,Measurement!$G:$G)=0,0,C52/SUMIF(Measurement!$B:$B,B52,Measurement!$G:$G))</f>
        <v/>
      </c>
      <c r="E52">
        <f>Measurement!H50</f>
        <v/>
      </c>
      <c r="F52">
        <f>IF(SUMIF(Measurement!$B:$B,B52,Measurement!$H:$H)=0,0,E52/SUMIF(Measurement!$B:$B,B52,Measurement!$H:$H))</f>
        <v/>
      </c>
      <c r="G52">
        <f>IFERROR(VLOOKUP(B52,Environments!$A$5:$I$50,4,FALSE),0)</f>
        <v/>
      </c>
      <c r="H52">
        <f>IFERROR(VLOOKUP(B52,Environments!$A$5:$I$50,5,FALSE),0)</f>
        <v/>
      </c>
      <c r="I52">
        <f>IFERROR(VLOOKUP(B52,Environments!$A$5:$I$50,9,FALSE),0)</f>
        <v/>
      </c>
      <c r="J52">
        <f>(D52*G52+F52*H52)*Global!$B$3</f>
        <v/>
      </c>
      <c r="K52">
        <f>IF(SUMIF(Measurement!$B:$B,B52,Measurement!$H:$H)=0,D52*I52,F52*I52)</f>
        <v/>
      </c>
      <c r="L52">
        <f>J52+K52</f>
        <v/>
      </c>
      <c r="M52" t="n">
        <v>0</v>
      </c>
      <c r="N52">
        <f>L52+M52</f>
        <v/>
      </c>
      <c r="O52">
        <f>N52*12</f>
        <v/>
      </c>
    </row>
    <row r="53">
      <c r="A53">
        <f>Measurement!A51</f>
        <v/>
      </c>
      <c r="B53">
        <f>Measurement!B51</f>
        <v/>
      </c>
      <c r="C53">
        <f>Measurement!G51</f>
        <v/>
      </c>
      <c r="D53">
        <f>IF(SUMIF(Measurement!$B:$B,B53,Measurement!$G:$G)=0,0,C53/SUMIF(Measurement!$B:$B,B53,Measurement!$G:$G))</f>
        <v/>
      </c>
      <c r="E53">
        <f>Measurement!H51</f>
        <v/>
      </c>
      <c r="F53">
        <f>IF(SUMIF(Measurement!$B:$B,B53,Measurement!$H:$H)=0,0,E53/SUMIF(Measurement!$B:$B,B53,Measurement!$H:$H))</f>
        <v/>
      </c>
      <c r="G53">
        <f>IFERROR(VLOOKUP(B53,Environments!$A$5:$I$50,4,FALSE),0)</f>
        <v/>
      </c>
      <c r="H53">
        <f>IFERROR(VLOOKUP(B53,Environments!$A$5:$I$50,5,FALSE),0)</f>
        <v/>
      </c>
      <c r="I53">
        <f>IFERROR(VLOOKUP(B53,Environments!$A$5:$I$50,9,FALSE),0)</f>
        <v/>
      </c>
      <c r="J53">
        <f>(D53*G53+F53*H53)*Global!$B$3</f>
        <v/>
      </c>
      <c r="K53">
        <f>IF(SUMIF(Measurement!$B:$B,B53,Measurement!$H:$H)=0,D53*I53,F53*I53)</f>
        <v/>
      </c>
      <c r="L53">
        <f>J53+K53</f>
        <v/>
      </c>
      <c r="M53" t="n">
        <v>0</v>
      </c>
      <c r="N53">
        <f>L53+M53</f>
        <v/>
      </c>
      <c r="O53">
        <f>N53*12</f>
        <v/>
      </c>
    </row>
    <row r="54">
      <c r="A54">
        <f>Measurement!A52</f>
        <v/>
      </c>
      <c r="B54">
        <f>Measurement!B52</f>
        <v/>
      </c>
      <c r="C54">
        <f>Measurement!G52</f>
        <v/>
      </c>
      <c r="D54">
        <f>IF(SUMIF(Measurement!$B:$B,B54,Measurement!$G:$G)=0,0,C54/SUMIF(Measurement!$B:$B,B54,Measurement!$G:$G))</f>
        <v/>
      </c>
      <c r="E54">
        <f>Measurement!H52</f>
        <v/>
      </c>
      <c r="F54">
        <f>IF(SUMIF(Measurement!$B:$B,B54,Measurement!$H:$H)=0,0,E54/SUMIF(Measurement!$B:$B,B54,Measurement!$H:$H))</f>
        <v/>
      </c>
      <c r="G54">
        <f>IFERROR(VLOOKUP(B54,Environments!$A$5:$I$50,4,FALSE),0)</f>
        <v/>
      </c>
      <c r="H54">
        <f>IFERROR(VLOOKUP(B54,Environments!$A$5:$I$50,5,FALSE),0)</f>
        <v/>
      </c>
      <c r="I54">
        <f>IFERROR(VLOOKUP(B54,Environments!$A$5:$I$50,9,FALSE),0)</f>
        <v/>
      </c>
      <c r="J54">
        <f>(D54*G54+F54*H54)*Global!$B$3</f>
        <v/>
      </c>
      <c r="K54">
        <f>IF(SUMIF(Measurement!$B:$B,B54,Measurement!$H:$H)=0,D54*I54,F54*I54)</f>
        <v/>
      </c>
      <c r="L54">
        <f>J54+K54</f>
        <v/>
      </c>
      <c r="M54" t="n">
        <v>0</v>
      </c>
      <c r="N54">
        <f>L54+M54</f>
        <v/>
      </c>
      <c r="O54">
        <f>N54*12</f>
        <v/>
      </c>
    </row>
    <row r="55">
      <c r="A55">
        <f>Measurement!A53</f>
        <v/>
      </c>
      <c r="B55">
        <f>Measurement!B53</f>
        <v/>
      </c>
      <c r="C55">
        <f>Measurement!G53</f>
        <v/>
      </c>
      <c r="D55">
        <f>IF(SUMIF(Measurement!$B:$B,B55,Measurement!$G:$G)=0,0,C55/SUMIF(Measurement!$B:$B,B55,Measurement!$G:$G))</f>
        <v/>
      </c>
      <c r="E55">
        <f>Measurement!H53</f>
        <v/>
      </c>
      <c r="F55">
        <f>IF(SUMIF(Measurement!$B:$B,B55,Measurement!$H:$H)=0,0,E55/SUMIF(Measurement!$B:$B,B55,Measurement!$H:$H))</f>
        <v/>
      </c>
      <c r="G55">
        <f>IFERROR(VLOOKUP(B55,Environments!$A$5:$I$50,4,FALSE),0)</f>
        <v/>
      </c>
      <c r="H55">
        <f>IFERROR(VLOOKUP(B55,Environments!$A$5:$I$50,5,FALSE),0)</f>
        <v/>
      </c>
      <c r="I55">
        <f>IFERROR(VLOOKUP(B55,Environments!$A$5:$I$50,9,FALSE),0)</f>
        <v/>
      </c>
      <c r="J55">
        <f>(D55*G55+F55*H55)*Global!$B$3</f>
        <v/>
      </c>
      <c r="K55">
        <f>IF(SUMIF(Measurement!$B:$B,B55,Measurement!$H:$H)=0,D55*I55,F55*I55)</f>
        <v/>
      </c>
      <c r="L55">
        <f>J55+K55</f>
        <v/>
      </c>
      <c r="M55" t="n">
        <v>0</v>
      </c>
      <c r="N55">
        <f>L55+M55</f>
        <v/>
      </c>
      <c r="O55">
        <f>N55*12</f>
        <v/>
      </c>
    </row>
    <row r="56">
      <c r="A56">
        <f>Measurement!A54</f>
        <v/>
      </c>
      <c r="B56">
        <f>Measurement!B54</f>
        <v/>
      </c>
      <c r="C56">
        <f>Measurement!G54</f>
        <v/>
      </c>
      <c r="D56">
        <f>IF(SUMIF(Measurement!$B:$B,B56,Measurement!$G:$G)=0,0,C56/SUMIF(Measurement!$B:$B,B56,Measurement!$G:$G))</f>
        <v/>
      </c>
      <c r="E56">
        <f>Measurement!H54</f>
        <v/>
      </c>
      <c r="F56">
        <f>IF(SUMIF(Measurement!$B:$B,B56,Measurement!$H:$H)=0,0,E56/SUMIF(Measurement!$B:$B,B56,Measurement!$H:$H))</f>
        <v/>
      </c>
      <c r="G56">
        <f>IFERROR(VLOOKUP(B56,Environments!$A$5:$I$50,4,FALSE),0)</f>
        <v/>
      </c>
      <c r="H56">
        <f>IFERROR(VLOOKUP(B56,Environments!$A$5:$I$50,5,FALSE),0)</f>
        <v/>
      </c>
      <c r="I56">
        <f>IFERROR(VLOOKUP(B56,Environments!$A$5:$I$50,9,FALSE),0)</f>
        <v/>
      </c>
      <c r="J56">
        <f>(D56*G56+F56*H56)*Global!$B$3</f>
        <v/>
      </c>
      <c r="K56">
        <f>IF(SUMIF(Measurement!$B:$B,B56,Measurement!$H:$H)=0,D56*I56,F56*I56)</f>
        <v/>
      </c>
      <c r="L56">
        <f>J56+K56</f>
        <v/>
      </c>
      <c r="M56" t="n">
        <v>0</v>
      </c>
      <c r="N56">
        <f>L56+M56</f>
        <v/>
      </c>
      <c r="O56">
        <f>N56*12</f>
        <v/>
      </c>
    </row>
    <row r="57">
      <c r="A57">
        <f>Measurement!A55</f>
        <v/>
      </c>
      <c r="B57">
        <f>Measurement!B55</f>
        <v/>
      </c>
      <c r="C57">
        <f>Measurement!G55</f>
        <v/>
      </c>
      <c r="D57">
        <f>IF(SUMIF(Measurement!$B:$B,B57,Measurement!$G:$G)=0,0,C57/SUMIF(Measurement!$B:$B,B57,Measurement!$G:$G))</f>
        <v/>
      </c>
      <c r="E57">
        <f>Measurement!H55</f>
        <v/>
      </c>
      <c r="F57">
        <f>IF(SUMIF(Measurement!$B:$B,B57,Measurement!$H:$H)=0,0,E57/SUMIF(Measurement!$B:$B,B57,Measurement!$H:$H))</f>
        <v/>
      </c>
      <c r="G57">
        <f>IFERROR(VLOOKUP(B57,Environments!$A$5:$I$50,4,FALSE),0)</f>
        <v/>
      </c>
      <c r="H57">
        <f>IFERROR(VLOOKUP(B57,Environments!$A$5:$I$50,5,FALSE),0)</f>
        <v/>
      </c>
      <c r="I57">
        <f>IFERROR(VLOOKUP(B57,Environments!$A$5:$I$50,9,FALSE),0)</f>
        <v/>
      </c>
      <c r="J57">
        <f>(D57*G57+F57*H57)*Global!$B$3</f>
        <v/>
      </c>
      <c r="K57">
        <f>IF(SUMIF(Measurement!$B:$B,B57,Measurement!$H:$H)=0,D57*I57,F57*I57)</f>
        <v/>
      </c>
      <c r="L57">
        <f>J57+K57</f>
        <v/>
      </c>
      <c r="M57" t="n">
        <v>0</v>
      </c>
      <c r="N57">
        <f>L57+M57</f>
        <v/>
      </c>
      <c r="O57">
        <f>N57*12</f>
        <v/>
      </c>
    </row>
    <row r="58">
      <c r="A58">
        <f>Measurement!A56</f>
        <v/>
      </c>
      <c r="B58">
        <f>Measurement!B56</f>
        <v/>
      </c>
      <c r="C58">
        <f>Measurement!G56</f>
        <v/>
      </c>
      <c r="D58">
        <f>IF(SUMIF(Measurement!$B:$B,B58,Measurement!$G:$G)=0,0,C58/SUMIF(Measurement!$B:$B,B58,Measurement!$G:$G))</f>
        <v/>
      </c>
      <c r="E58">
        <f>Measurement!H56</f>
        <v/>
      </c>
      <c r="F58">
        <f>IF(SUMIF(Measurement!$B:$B,B58,Measurement!$H:$H)=0,0,E58/SUMIF(Measurement!$B:$B,B58,Measurement!$H:$H))</f>
        <v/>
      </c>
      <c r="G58">
        <f>IFERROR(VLOOKUP(B58,Environments!$A$5:$I$50,4,FALSE),0)</f>
        <v/>
      </c>
      <c r="H58">
        <f>IFERROR(VLOOKUP(B58,Environments!$A$5:$I$50,5,FALSE),0)</f>
        <v/>
      </c>
      <c r="I58">
        <f>IFERROR(VLOOKUP(B58,Environments!$A$5:$I$50,9,FALSE),0)</f>
        <v/>
      </c>
      <c r="J58">
        <f>(D58*G58+F58*H58)*Global!$B$3</f>
        <v/>
      </c>
      <c r="K58">
        <f>IF(SUMIF(Measurement!$B:$B,B58,Measurement!$H:$H)=0,D58*I58,F58*I58)</f>
        <v/>
      </c>
      <c r="L58">
        <f>J58+K58</f>
        <v/>
      </c>
      <c r="M58" t="n">
        <v>0</v>
      </c>
      <c r="N58">
        <f>L58+M58</f>
        <v/>
      </c>
      <c r="O58">
        <f>N58*12</f>
        <v/>
      </c>
    </row>
    <row r="59">
      <c r="A59">
        <f>Measurement!A57</f>
        <v/>
      </c>
      <c r="B59">
        <f>Measurement!B57</f>
        <v/>
      </c>
      <c r="C59">
        <f>Measurement!G57</f>
        <v/>
      </c>
      <c r="D59">
        <f>IF(SUMIF(Measurement!$B:$B,B59,Measurement!$G:$G)=0,0,C59/SUMIF(Measurement!$B:$B,B59,Measurement!$G:$G))</f>
        <v/>
      </c>
      <c r="E59">
        <f>Measurement!H57</f>
        <v/>
      </c>
      <c r="F59">
        <f>IF(SUMIF(Measurement!$B:$B,B59,Measurement!$H:$H)=0,0,E59/SUMIF(Measurement!$B:$B,B59,Measurement!$H:$H))</f>
        <v/>
      </c>
      <c r="G59">
        <f>IFERROR(VLOOKUP(B59,Environments!$A$5:$I$50,4,FALSE),0)</f>
        <v/>
      </c>
      <c r="H59">
        <f>IFERROR(VLOOKUP(B59,Environments!$A$5:$I$50,5,FALSE),0)</f>
        <v/>
      </c>
      <c r="I59">
        <f>IFERROR(VLOOKUP(B59,Environments!$A$5:$I$50,9,FALSE),0)</f>
        <v/>
      </c>
      <c r="J59">
        <f>(D59*G59+F59*H59)*Global!$B$3</f>
        <v/>
      </c>
      <c r="K59">
        <f>IF(SUMIF(Measurement!$B:$B,B59,Measurement!$H:$H)=0,D59*I59,F59*I59)</f>
        <v/>
      </c>
      <c r="L59">
        <f>J59+K59</f>
        <v/>
      </c>
      <c r="M59" t="n">
        <v>0</v>
      </c>
      <c r="N59">
        <f>L59+M59</f>
        <v/>
      </c>
      <c r="O59">
        <f>N59*12</f>
        <v/>
      </c>
    </row>
    <row r="60">
      <c r="A60">
        <f>Measurement!A58</f>
        <v/>
      </c>
      <c r="B60">
        <f>Measurement!B58</f>
        <v/>
      </c>
      <c r="C60">
        <f>Measurement!G58</f>
        <v/>
      </c>
      <c r="D60">
        <f>IF(SUMIF(Measurement!$B:$B,B60,Measurement!$G:$G)=0,0,C60/SUMIF(Measurement!$B:$B,B60,Measurement!$G:$G))</f>
        <v/>
      </c>
      <c r="E60">
        <f>Measurement!H58</f>
        <v/>
      </c>
      <c r="F60">
        <f>IF(SUMIF(Measurement!$B:$B,B60,Measurement!$H:$H)=0,0,E60/SUMIF(Measurement!$B:$B,B60,Measurement!$H:$H))</f>
        <v/>
      </c>
      <c r="G60">
        <f>IFERROR(VLOOKUP(B60,Environments!$A$5:$I$50,4,FALSE),0)</f>
        <v/>
      </c>
      <c r="H60">
        <f>IFERROR(VLOOKUP(B60,Environments!$A$5:$I$50,5,FALSE),0)</f>
        <v/>
      </c>
      <c r="I60">
        <f>IFERROR(VLOOKUP(B60,Environments!$A$5:$I$50,9,FALSE),0)</f>
        <v/>
      </c>
      <c r="J60">
        <f>(D60*G60+F60*H60)*Global!$B$3</f>
        <v/>
      </c>
      <c r="K60">
        <f>IF(SUMIF(Measurement!$B:$B,B60,Measurement!$H:$H)=0,D60*I60,F60*I60)</f>
        <v/>
      </c>
      <c r="L60">
        <f>J60+K60</f>
        <v/>
      </c>
      <c r="M60" t="n">
        <v>0</v>
      </c>
      <c r="N60">
        <f>L60+M60</f>
        <v/>
      </c>
      <c r="O60">
        <f>N60*12</f>
        <v/>
      </c>
    </row>
    <row r="61">
      <c r="A61">
        <f>Measurement!A59</f>
        <v/>
      </c>
      <c r="B61">
        <f>Measurement!B59</f>
        <v/>
      </c>
      <c r="C61">
        <f>Measurement!G59</f>
        <v/>
      </c>
      <c r="D61">
        <f>IF(SUMIF(Measurement!$B:$B,B61,Measurement!$G:$G)=0,0,C61/SUMIF(Measurement!$B:$B,B61,Measurement!$G:$G))</f>
        <v/>
      </c>
      <c r="E61">
        <f>Measurement!H59</f>
        <v/>
      </c>
      <c r="F61">
        <f>IF(SUMIF(Measurement!$B:$B,B61,Measurement!$H:$H)=0,0,E61/SUMIF(Measurement!$B:$B,B61,Measurement!$H:$H))</f>
        <v/>
      </c>
      <c r="G61">
        <f>IFERROR(VLOOKUP(B61,Environments!$A$5:$I$50,4,FALSE),0)</f>
        <v/>
      </c>
      <c r="H61">
        <f>IFERROR(VLOOKUP(B61,Environments!$A$5:$I$50,5,FALSE),0)</f>
        <v/>
      </c>
      <c r="I61">
        <f>IFERROR(VLOOKUP(B61,Environments!$A$5:$I$50,9,FALSE),0)</f>
        <v/>
      </c>
      <c r="J61">
        <f>(D61*G61+F61*H61)*Global!$B$3</f>
        <v/>
      </c>
      <c r="K61">
        <f>IF(SUMIF(Measurement!$B:$B,B61,Measurement!$H:$H)=0,D61*I61,F61*I61)</f>
        <v/>
      </c>
      <c r="L61">
        <f>J61+K61</f>
        <v/>
      </c>
      <c r="M61" t="n">
        <v>0</v>
      </c>
      <c r="N61">
        <f>L61+M61</f>
        <v/>
      </c>
      <c r="O61">
        <f>N61*12</f>
        <v/>
      </c>
    </row>
    <row r="62">
      <c r="A62">
        <f>Measurement!A60</f>
        <v/>
      </c>
      <c r="B62">
        <f>Measurement!B60</f>
        <v/>
      </c>
      <c r="C62">
        <f>Measurement!G60</f>
        <v/>
      </c>
      <c r="D62">
        <f>IF(SUMIF(Measurement!$B:$B,B62,Measurement!$G:$G)=0,0,C62/SUMIF(Measurement!$B:$B,B62,Measurement!$G:$G))</f>
        <v/>
      </c>
      <c r="E62">
        <f>Measurement!H60</f>
        <v/>
      </c>
      <c r="F62">
        <f>IF(SUMIF(Measurement!$B:$B,B62,Measurement!$H:$H)=0,0,E62/SUMIF(Measurement!$B:$B,B62,Measurement!$H:$H))</f>
        <v/>
      </c>
      <c r="G62">
        <f>IFERROR(VLOOKUP(B62,Environments!$A$5:$I$50,4,FALSE),0)</f>
        <v/>
      </c>
      <c r="H62">
        <f>IFERROR(VLOOKUP(B62,Environments!$A$5:$I$50,5,FALSE),0)</f>
        <v/>
      </c>
      <c r="I62">
        <f>IFERROR(VLOOKUP(B62,Environments!$A$5:$I$50,9,FALSE),0)</f>
        <v/>
      </c>
      <c r="J62">
        <f>(D62*G62+F62*H62)*Global!$B$3</f>
        <v/>
      </c>
      <c r="K62">
        <f>IF(SUMIF(Measurement!$B:$B,B62,Measurement!$H:$H)=0,D62*I62,F62*I62)</f>
        <v/>
      </c>
      <c r="L62">
        <f>J62+K62</f>
        <v/>
      </c>
      <c r="M62" t="n">
        <v>0</v>
      </c>
      <c r="N62">
        <f>L62+M62</f>
        <v/>
      </c>
      <c r="O62">
        <f>N62*12</f>
        <v/>
      </c>
    </row>
    <row r="63">
      <c r="A63">
        <f>Measurement!A61</f>
        <v/>
      </c>
      <c r="B63">
        <f>Measurement!B61</f>
        <v/>
      </c>
      <c r="C63">
        <f>Measurement!G61</f>
        <v/>
      </c>
      <c r="D63">
        <f>IF(SUMIF(Measurement!$B:$B,B63,Measurement!$G:$G)=0,0,C63/SUMIF(Measurement!$B:$B,B63,Measurement!$G:$G))</f>
        <v/>
      </c>
      <c r="E63">
        <f>Measurement!H61</f>
        <v/>
      </c>
      <c r="F63">
        <f>IF(SUMIF(Measurement!$B:$B,B63,Measurement!$H:$H)=0,0,E63/SUMIF(Measurement!$B:$B,B63,Measurement!$H:$H))</f>
        <v/>
      </c>
      <c r="G63">
        <f>IFERROR(VLOOKUP(B63,Environments!$A$5:$I$50,4,FALSE),0)</f>
        <v/>
      </c>
      <c r="H63">
        <f>IFERROR(VLOOKUP(B63,Environments!$A$5:$I$50,5,FALSE),0)</f>
        <v/>
      </c>
      <c r="I63">
        <f>IFERROR(VLOOKUP(B63,Environments!$A$5:$I$50,9,FALSE),0)</f>
        <v/>
      </c>
      <c r="J63">
        <f>(D63*G63+F63*H63)*Global!$B$3</f>
        <v/>
      </c>
      <c r="K63">
        <f>IF(SUMIF(Measurement!$B:$B,B63,Measurement!$H:$H)=0,D63*I63,F63*I63)</f>
        <v/>
      </c>
      <c r="L63">
        <f>J63+K63</f>
        <v/>
      </c>
      <c r="M63" t="n">
        <v>0</v>
      </c>
      <c r="N63">
        <f>L63+M63</f>
        <v/>
      </c>
      <c r="O63">
        <f>N63*12</f>
        <v/>
      </c>
    </row>
    <row r="64">
      <c r="A64">
        <f>Measurement!A62</f>
        <v/>
      </c>
      <c r="B64">
        <f>Measurement!B62</f>
        <v/>
      </c>
      <c r="C64">
        <f>Measurement!G62</f>
        <v/>
      </c>
      <c r="D64">
        <f>IF(SUMIF(Measurement!$B:$B,B64,Measurement!$G:$G)=0,0,C64/SUMIF(Measurement!$B:$B,B64,Measurement!$G:$G))</f>
        <v/>
      </c>
      <c r="E64">
        <f>Measurement!H62</f>
        <v/>
      </c>
      <c r="F64">
        <f>IF(SUMIF(Measurement!$B:$B,B64,Measurement!$H:$H)=0,0,E64/SUMIF(Measurement!$B:$B,B64,Measurement!$H:$H))</f>
        <v/>
      </c>
      <c r="G64">
        <f>IFERROR(VLOOKUP(B64,Environments!$A$5:$I$50,4,FALSE),0)</f>
        <v/>
      </c>
      <c r="H64">
        <f>IFERROR(VLOOKUP(B64,Environments!$A$5:$I$50,5,FALSE),0)</f>
        <v/>
      </c>
      <c r="I64">
        <f>IFERROR(VLOOKUP(B64,Environments!$A$5:$I$50,9,FALSE),0)</f>
        <v/>
      </c>
      <c r="J64">
        <f>(D64*G64+F64*H64)*Global!$B$3</f>
        <v/>
      </c>
      <c r="K64">
        <f>IF(SUMIF(Measurement!$B:$B,B64,Measurement!$H:$H)=0,D64*I64,F64*I64)</f>
        <v/>
      </c>
      <c r="L64">
        <f>J64+K64</f>
        <v/>
      </c>
      <c r="M64" t="n">
        <v>0</v>
      </c>
      <c r="N64">
        <f>L64+M64</f>
        <v/>
      </c>
      <c r="O64">
        <f>N64*12</f>
        <v/>
      </c>
    </row>
    <row r="65">
      <c r="A65">
        <f>Measurement!A63</f>
        <v/>
      </c>
      <c r="B65">
        <f>Measurement!B63</f>
        <v/>
      </c>
      <c r="C65">
        <f>Measurement!G63</f>
        <v/>
      </c>
      <c r="D65">
        <f>IF(SUMIF(Measurement!$B:$B,B65,Measurement!$G:$G)=0,0,C65/SUMIF(Measurement!$B:$B,B65,Measurement!$G:$G))</f>
        <v/>
      </c>
      <c r="E65">
        <f>Measurement!H63</f>
        <v/>
      </c>
      <c r="F65">
        <f>IF(SUMIF(Measurement!$B:$B,B65,Measurement!$H:$H)=0,0,E65/SUMIF(Measurement!$B:$B,B65,Measurement!$H:$H))</f>
        <v/>
      </c>
      <c r="G65">
        <f>IFERROR(VLOOKUP(B65,Environments!$A$5:$I$50,4,FALSE),0)</f>
        <v/>
      </c>
      <c r="H65">
        <f>IFERROR(VLOOKUP(B65,Environments!$A$5:$I$50,5,FALSE),0)</f>
        <v/>
      </c>
      <c r="I65">
        <f>IFERROR(VLOOKUP(B65,Environments!$A$5:$I$50,9,FALSE),0)</f>
        <v/>
      </c>
      <c r="J65">
        <f>(D65*G65+F65*H65)*Global!$B$3</f>
        <v/>
      </c>
      <c r="K65">
        <f>IF(SUMIF(Measurement!$B:$B,B65,Measurement!$H:$H)=0,D65*I65,F65*I65)</f>
        <v/>
      </c>
      <c r="L65">
        <f>J65+K65</f>
        <v/>
      </c>
      <c r="M65" t="n">
        <v>0</v>
      </c>
      <c r="N65">
        <f>L65+M65</f>
        <v/>
      </c>
      <c r="O65">
        <f>N65*12</f>
        <v/>
      </c>
    </row>
    <row r="66">
      <c r="A66">
        <f>Measurement!A64</f>
        <v/>
      </c>
      <c r="B66">
        <f>Measurement!B64</f>
        <v/>
      </c>
      <c r="C66">
        <f>Measurement!G64</f>
        <v/>
      </c>
      <c r="D66">
        <f>IF(SUMIF(Measurement!$B:$B,B66,Measurement!$G:$G)=0,0,C66/SUMIF(Measurement!$B:$B,B66,Measurement!$G:$G))</f>
        <v/>
      </c>
      <c r="E66">
        <f>Measurement!H64</f>
        <v/>
      </c>
      <c r="F66">
        <f>IF(SUMIF(Measurement!$B:$B,B66,Measurement!$H:$H)=0,0,E66/SUMIF(Measurement!$B:$B,B66,Measurement!$H:$H))</f>
        <v/>
      </c>
      <c r="G66">
        <f>IFERROR(VLOOKUP(B66,Environments!$A$5:$I$50,4,FALSE),0)</f>
        <v/>
      </c>
      <c r="H66">
        <f>IFERROR(VLOOKUP(B66,Environments!$A$5:$I$50,5,FALSE),0)</f>
        <v/>
      </c>
      <c r="I66">
        <f>IFERROR(VLOOKUP(B66,Environments!$A$5:$I$50,9,FALSE),0)</f>
        <v/>
      </c>
      <c r="J66">
        <f>(D66*G66+F66*H66)*Global!$B$3</f>
        <v/>
      </c>
      <c r="K66">
        <f>IF(SUMIF(Measurement!$B:$B,B66,Measurement!$H:$H)=0,D66*I66,F66*I66)</f>
        <v/>
      </c>
      <c r="L66">
        <f>J66+K66</f>
        <v/>
      </c>
      <c r="M66" t="n">
        <v>0</v>
      </c>
      <c r="N66">
        <f>L66+M66</f>
        <v/>
      </c>
      <c r="O66">
        <f>N66*12</f>
        <v/>
      </c>
    </row>
    <row r="67">
      <c r="A67">
        <f>Measurement!A65</f>
        <v/>
      </c>
      <c r="B67">
        <f>Measurement!B65</f>
        <v/>
      </c>
      <c r="C67">
        <f>Measurement!G65</f>
        <v/>
      </c>
      <c r="D67">
        <f>IF(SUMIF(Measurement!$B:$B,B67,Measurement!$G:$G)=0,0,C67/SUMIF(Measurement!$B:$B,B67,Measurement!$G:$G))</f>
        <v/>
      </c>
      <c r="E67">
        <f>Measurement!H65</f>
        <v/>
      </c>
      <c r="F67">
        <f>IF(SUMIF(Measurement!$B:$B,B67,Measurement!$H:$H)=0,0,E67/SUMIF(Measurement!$B:$B,B67,Measurement!$H:$H))</f>
        <v/>
      </c>
      <c r="G67">
        <f>IFERROR(VLOOKUP(B67,Environments!$A$5:$I$50,4,FALSE),0)</f>
        <v/>
      </c>
      <c r="H67">
        <f>IFERROR(VLOOKUP(B67,Environments!$A$5:$I$50,5,FALSE),0)</f>
        <v/>
      </c>
      <c r="I67">
        <f>IFERROR(VLOOKUP(B67,Environments!$A$5:$I$50,9,FALSE),0)</f>
        <v/>
      </c>
      <c r="J67">
        <f>(D67*G67+F67*H67)*Global!$B$3</f>
        <v/>
      </c>
      <c r="K67">
        <f>IF(SUMIF(Measurement!$B:$B,B67,Measurement!$H:$H)=0,D67*I67,F67*I67)</f>
        <v/>
      </c>
      <c r="L67">
        <f>J67+K67</f>
        <v/>
      </c>
      <c r="M67" t="n">
        <v>0</v>
      </c>
      <c r="N67">
        <f>L67+M67</f>
        <v/>
      </c>
      <c r="O67">
        <f>N67*12</f>
        <v/>
      </c>
    </row>
    <row r="68">
      <c r="A68">
        <f>Measurement!A66</f>
        <v/>
      </c>
      <c r="B68">
        <f>Measurement!B66</f>
        <v/>
      </c>
      <c r="C68">
        <f>Measurement!G66</f>
        <v/>
      </c>
      <c r="D68">
        <f>IF(SUMIF(Measurement!$B:$B,B68,Measurement!$G:$G)=0,0,C68/SUMIF(Measurement!$B:$B,B68,Measurement!$G:$G))</f>
        <v/>
      </c>
      <c r="E68">
        <f>Measurement!H66</f>
        <v/>
      </c>
      <c r="F68">
        <f>IF(SUMIF(Measurement!$B:$B,B68,Measurement!$H:$H)=0,0,E68/SUMIF(Measurement!$B:$B,B68,Measurement!$H:$H))</f>
        <v/>
      </c>
      <c r="G68">
        <f>IFERROR(VLOOKUP(B68,Environments!$A$5:$I$50,4,FALSE),0)</f>
        <v/>
      </c>
      <c r="H68">
        <f>IFERROR(VLOOKUP(B68,Environments!$A$5:$I$50,5,FALSE),0)</f>
        <v/>
      </c>
      <c r="I68">
        <f>IFERROR(VLOOKUP(B68,Environments!$A$5:$I$50,9,FALSE),0)</f>
        <v/>
      </c>
      <c r="J68">
        <f>(D68*G68+F68*H68)*Global!$B$3</f>
        <v/>
      </c>
      <c r="K68">
        <f>IF(SUMIF(Measurement!$B:$B,B68,Measurement!$H:$H)=0,D68*I68,F68*I68)</f>
        <v/>
      </c>
      <c r="L68">
        <f>J68+K68</f>
        <v/>
      </c>
      <c r="M68" t="n">
        <v>0</v>
      </c>
      <c r="N68">
        <f>L68+M68</f>
        <v/>
      </c>
      <c r="O68">
        <f>N68*12</f>
        <v/>
      </c>
    </row>
    <row r="69">
      <c r="A69">
        <f>Measurement!A67</f>
        <v/>
      </c>
      <c r="B69">
        <f>Measurement!B67</f>
        <v/>
      </c>
      <c r="C69">
        <f>Measurement!G67</f>
        <v/>
      </c>
      <c r="D69">
        <f>IF(SUMIF(Measurement!$B:$B,B69,Measurement!$G:$G)=0,0,C69/SUMIF(Measurement!$B:$B,B69,Measurement!$G:$G))</f>
        <v/>
      </c>
      <c r="E69">
        <f>Measurement!H67</f>
        <v/>
      </c>
      <c r="F69">
        <f>IF(SUMIF(Measurement!$B:$B,B69,Measurement!$H:$H)=0,0,E69/SUMIF(Measurement!$B:$B,B69,Measurement!$H:$H))</f>
        <v/>
      </c>
      <c r="G69">
        <f>IFERROR(VLOOKUP(B69,Environments!$A$5:$I$50,4,FALSE),0)</f>
        <v/>
      </c>
      <c r="H69">
        <f>IFERROR(VLOOKUP(B69,Environments!$A$5:$I$50,5,FALSE),0)</f>
        <v/>
      </c>
      <c r="I69">
        <f>IFERROR(VLOOKUP(B69,Environments!$A$5:$I$50,9,FALSE),0)</f>
        <v/>
      </c>
      <c r="J69">
        <f>(D69*G69+F69*H69)*Global!$B$3</f>
        <v/>
      </c>
      <c r="K69">
        <f>IF(SUMIF(Measurement!$B:$B,B69,Measurement!$H:$H)=0,D69*I69,F69*I69)</f>
        <v/>
      </c>
      <c r="L69">
        <f>J69+K69</f>
        <v/>
      </c>
      <c r="M69" t="n">
        <v>0</v>
      </c>
      <c r="N69">
        <f>L69+M69</f>
        <v/>
      </c>
      <c r="O69">
        <f>N69*12</f>
        <v/>
      </c>
    </row>
    <row r="70">
      <c r="A70">
        <f>Measurement!A68</f>
        <v/>
      </c>
      <c r="B70">
        <f>Measurement!B68</f>
        <v/>
      </c>
      <c r="C70">
        <f>Measurement!G68</f>
        <v/>
      </c>
      <c r="D70">
        <f>IF(SUMIF(Measurement!$B:$B,B70,Measurement!$G:$G)=0,0,C70/SUMIF(Measurement!$B:$B,B70,Measurement!$G:$G))</f>
        <v/>
      </c>
      <c r="E70">
        <f>Measurement!H68</f>
        <v/>
      </c>
      <c r="F70">
        <f>IF(SUMIF(Measurement!$B:$B,B70,Measurement!$H:$H)=0,0,E70/SUMIF(Measurement!$B:$B,B70,Measurement!$H:$H))</f>
        <v/>
      </c>
      <c r="G70">
        <f>IFERROR(VLOOKUP(B70,Environments!$A$5:$I$50,4,FALSE),0)</f>
        <v/>
      </c>
      <c r="H70">
        <f>IFERROR(VLOOKUP(B70,Environments!$A$5:$I$50,5,FALSE),0)</f>
        <v/>
      </c>
      <c r="I70">
        <f>IFERROR(VLOOKUP(B70,Environments!$A$5:$I$50,9,FALSE),0)</f>
        <v/>
      </c>
      <c r="J70">
        <f>(D70*G70+F70*H70)*Global!$B$3</f>
        <v/>
      </c>
      <c r="K70">
        <f>IF(SUMIF(Measurement!$B:$B,B70,Measurement!$H:$H)=0,D70*I70,F70*I70)</f>
        <v/>
      </c>
      <c r="L70">
        <f>J70+K70</f>
        <v/>
      </c>
      <c r="M70" t="n">
        <v>0</v>
      </c>
      <c r="N70">
        <f>L70+M70</f>
        <v/>
      </c>
      <c r="O70">
        <f>N70*12</f>
        <v/>
      </c>
    </row>
    <row r="71">
      <c r="A71">
        <f>Measurement!A69</f>
        <v/>
      </c>
      <c r="B71">
        <f>Measurement!B69</f>
        <v/>
      </c>
      <c r="C71">
        <f>Measurement!G69</f>
        <v/>
      </c>
      <c r="D71">
        <f>IF(SUMIF(Measurement!$B:$B,B71,Measurement!$G:$G)=0,0,C71/SUMIF(Measurement!$B:$B,B71,Measurement!$G:$G))</f>
        <v/>
      </c>
      <c r="E71">
        <f>Measurement!H69</f>
        <v/>
      </c>
      <c r="F71">
        <f>IF(SUMIF(Measurement!$B:$B,B71,Measurement!$H:$H)=0,0,E71/SUMIF(Measurement!$B:$B,B71,Measurement!$H:$H))</f>
        <v/>
      </c>
      <c r="G71">
        <f>IFERROR(VLOOKUP(B71,Environments!$A$5:$I$50,4,FALSE),0)</f>
        <v/>
      </c>
      <c r="H71">
        <f>IFERROR(VLOOKUP(B71,Environments!$A$5:$I$50,5,FALSE),0)</f>
        <v/>
      </c>
      <c r="I71">
        <f>IFERROR(VLOOKUP(B71,Environments!$A$5:$I$50,9,FALSE),0)</f>
        <v/>
      </c>
      <c r="J71">
        <f>(D71*G71+F71*H71)*Global!$B$3</f>
        <v/>
      </c>
      <c r="K71">
        <f>IF(SUMIF(Measurement!$B:$B,B71,Measurement!$H:$H)=0,D71*I71,F71*I71)</f>
        <v/>
      </c>
      <c r="L71">
        <f>J71+K71</f>
        <v/>
      </c>
      <c r="M71" t="n">
        <v>0</v>
      </c>
      <c r="N71">
        <f>L71+M71</f>
        <v/>
      </c>
      <c r="O71">
        <f>N71*12</f>
        <v/>
      </c>
    </row>
    <row r="72">
      <c r="A72">
        <f>Measurement!A70</f>
        <v/>
      </c>
      <c r="B72">
        <f>Measurement!B70</f>
        <v/>
      </c>
      <c r="C72">
        <f>Measurement!G70</f>
        <v/>
      </c>
      <c r="D72">
        <f>IF(SUMIF(Measurement!$B:$B,B72,Measurement!$G:$G)=0,0,C72/SUMIF(Measurement!$B:$B,B72,Measurement!$G:$G))</f>
        <v/>
      </c>
      <c r="E72">
        <f>Measurement!H70</f>
        <v/>
      </c>
      <c r="F72">
        <f>IF(SUMIF(Measurement!$B:$B,B72,Measurement!$H:$H)=0,0,E72/SUMIF(Measurement!$B:$B,B72,Measurement!$H:$H))</f>
        <v/>
      </c>
      <c r="G72">
        <f>IFERROR(VLOOKUP(B72,Environments!$A$5:$I$50,4,FALSE),0)</f>
        <v/>
      </c>
      <c r="H72">
        <f>IFERROR(VLOOKUP(B72,Environments!$A$5:$I$50,5,FALSE),0)</f>
        <v/>
      </c>
      <c r="I72">
        <f>IFERROR(VLOOKUP(B72,Environments!$A$5:$I$50,9,FALSE),0)</f>
        <v/>
      </c>
      <c r="J72">
        <f>(D72*G72+F72*H72)*Global!$B$3</f>
        <v/>
      </c>
      <c r="K72">
        <f>IF(SUMIF(Measurement!$B:$B,B72,Measurement!$H:$H)=0,D72*I72,F72*I72)</f>
        <v/>
      </c>
      <c r="L72">
        <f>J72+K72</f>
        <v/>
      </c>
      <c r="M72" t="n">
        <v>0</v>
      </c>
      <c r="N72">
        <f>L72+M72</f>
        <v/>
      </c>
      <c r="O72">
        <f>N72*12</f>
        <v/>
      </c>
    </row>
    <row r="73">
      <c r="A73">
        <f>Measurement!A71</f>
        <v/>
      </c>
      <c r="B73">
        <f>Measurement!B71</f>
        <v/>
      </c>
      <c r="C73">
        <f>Measurement!G71</f>
        <v/>
      </c>
      <c r="D73">
        <f>IF(SUMIF(Measurement!$B:$B,B73,Measurement!$G:$G)=0,0,C73/SUMIF(Measurement!$B:$B,B73,Measurement!$G:$G))</f>
        <v/>
      </c>
      <c r="E73">
        <f>Measurement!H71</f>
        <v/>
      </c>
      <c r="F73">
        <f>IF(SUMIF(Measurement!$B:$B,B73,Measurement!$H:$H)=0,0,E73/SUMIF(Measurement!$B:$B,B73,Measurement!$H:$H))</f>
        <v/>
      </c>
      <c r="G73">
        <f>IFERROR(VLOOKUP(B73,Environments!$A$5:$I$50,4,FALSE),0)</f>
        <v/>
      </c>
      <c r="H73">
        <f>IFERROR(VLOOKUP(B73,Environments!$A$5:$I$50,5,FALSE),0)</f>
        <v/>
      </c>
      <c r="I73">
        <f>IFERROR(VLOOKUP(B73,Environments!$A$5:$I$50,9,FALSE),0)</f>
        <v/>
      </c>
      <c r="J73">
        <f>(D73*G73+F73*H73)*Global!$B$3</f>
        <v/>
      </c>
      <c r="K73">
        <f>IF(SUMIF(Measurement!$B:$B,B73,Measurement!$H:$H)=0,D73*I73,F73*I73)</f>
        <v/>
      </c>
      <c r="L73">
        <f>J73+K73</f>
        <v/>
      </c>
      <c r="M73" t="n">
        <v>0</v>
      </c>
      <c r="N73">
        <f>L73+M73</f>
        <v/>
      </c>
      <c r="O73">
        <f>N73*12</f>
        <v/>
      </c>
    </row>
    <row r="74">
      <c r="A74">
        <f>Measurement!A72</f>
        <v/>
      </c>
      <c r="B74">
        <f>Measurement!B72</f>
        <v/>
      </c>
      <c r="C74">
        <f>Measurement!G72</f>
        <v/>
      </c>
      <c r="D74">
        <f>IF(SUMIF(Measurement!$B:$B,B74,Measurement!$G:$G)=0,0,C74/SUMIF(Measurement!$B:$B,B74,Measurement!$G:$G))</f>
        <v/>
      </c>
      <c r="E74">
        <f>Measurement!H72</f>
        <v/>
      </c>
      <c r="F74">
        <f>IF(SUMIF(Measurement!$B:$B,B74,Measurement!$H:$H)=0,0,E74/SUMIF(Measurement!$B:$B,B74,Measurement!$H:$H))</f>
        <v/>
      </c>
      <c r="G74">
        <f>IFERROR(VLOOKUP(B74,Environments!$A$5:$I$50,4,FALSE),0)</f>
        <v/>
      </c>
      <c r="H74">
        <f>IFERROR(VLOOKUP(B74,Environments!$A$5:$I$50,5,FALSE),0)</f>
        <v/>
      </c>
      <c r="I74">
        <f>IFERROR(VLOOKUP(B74,Environments!$A$5:$I$50,9,FALSE),0)</f>
        <v/>
      </c>
      <c r="J74">
        <f>(D74*G74+F74*H74)*Global!$B$3</f>
        <v/>
      </c>
      <c r="K74">
        <f>IF(SUMIF(Measurement!$B:$B,B74,Measurement!$H:$H)=0,D74*I74,F74*I74)</f>
        <v/>
      </c>
      <c r="L74">
        <f>J74+K74</f>
        <v/>
      </c>
      <c r="M74" t="n">
        <v>0</v>
      </c>
      <c r="N74">
        <f>L74+M74</f>
        <v/>
      </c>
      <c r="O74">
        <f>N74*12</f>
        <v/>
      </c>
    </row>
    <row r="75">
      <c r="A75">
        <f>Measurement!A73</f>
        <v/>
      </c>
      <c r="B75">
        <f>Measurement!B73</f>
        <v/>
      </c>
      <c r="C75">
        <f>Measurement!G73</f>
        <v/>
      </c>
      <c r="D75">
        <f>IF(SUMIF(Measurement!$B:$B,B75,Measurement!$G:$G)=0,0,C75/SUMIF(Measurement!$B:$B,B75,Measurement!$G:$G))</f>
        <v/>
      </c>
      <c r="E75">
        <f>Measurement!H73</f>
        <v/>
      </c>
      <c r="F75">
        <f>IF(SUMIF(Measurement!$B:$B,B75,Measurement!$H:$H)=0,0,E75/SUMIF(Measurement!$B:$B,B75,Measurement!$H:$H))</f>
        <v/>
      </c>
      <c r="G75">
        <f>IFERROR(VLOOKUP(B75,Environments!$A$5:$I$50,4,FALSE),0)</f>
        <v/>
      </c>
      <c r="H75">
        <f>IFERROR(VLOOKUP(B75,Environments!$A$5:$I$50,5,FALSE),0)</f>
        <v/>
      </c>
      <c r="I75">
        <f>IFERROR(VLOOKUP(B75,Environments!$A$5:$I$50,9,FALSE),0)</f>
        <v/>
      </c>
      <c r="J75">
        <f>(D75*G75+F75*H75)*Global!$B$3</f>
        <v/>
      </c>
      <c r="K75">
        <f>IF(SUMIF(Measurement!$B:$B,B75,Measurement!$H:$H)=0,D75*I75,F75*I75)</f>
        <v/>
      </c>
      <c r="L75">
        <f>J75+K75</f>
        <v/>
      </c>
      <c r="M75" t="n">
        <v>0</v>
      </c>
      <c r="N75">
        <f>L75+M75</f>
        <v/>
      </c>
      <c r="O75">
        <f>N75*12</f>
        <v/>
      </c>
    </row>
    <row r="76">
      <c r="A76">
        <f>Measurement!A74</f>
        <v/>
      </c>
      <c r="B76">
        <f>Measurement!B74</f>
        <v/>
      </c>
      <c r="C76">
        <f>Measurement!G74</f>
        <v/>
      </c>
      <c r="D76">
        <f>IF(SUMIF(Measurement!$B:$B,B76,Measurement!$G:$G)=0,0,C76/SUMIF(Measurement!$B:$B,B76,Measurement!$G:$G))</f>
        <v/>
      </c>
      <c r="E76">
        <f>Measurement!H74</f>
        <v/>
      </c>
      <c r="F76">
        <f>IF(SUMIF(Measurement!$B:$B,B76,Measurement!$H:$H)=0,0,E76/SUMIF(Measurement!$B:$B,B76,Measurement!$H:$H))</f>
        <v/>
      </c>
      <c r="G76">
        <f>IFERROR(VLOOKUP(B76,Environments!$A$5:$I$50,4,FALSE),0)</f>
        <v/>
      </c>
      <c r="H76">
        <f>IFERROR(VLOOKUP(B76,Environments!$A$5:$I$50,5,FALSE),0)</f>
        <v/>
      </c>
      <c r="I76">
        <f>IFERROR(VLOOKUP(B76,Environments!$A$5:$I$50,9,FALSE),0)</f>
        <v/>
      </c>
      <c r="J76">
        <f>(D76*G76+F76*H76)*Global!$B$3</f>
        <v/>
      </c>
      <c r="K76">
        <f>IF(SUMIF(Measurement!$B:$B,B76,Measurement!$H:$H)=0,D76*I76,F76*I76)</f>
        <v/>
      </c>
      <c r="L76">
        <f>J76+K76</f>
        <v/>
      </c>
      <c r="M76" t="n">
        <v>0</v>
      </c>
      <c r="N76">
        <f>L76+M76</f>
        <v/>
      </c>
      <c r="O76">
        <f>N76*12</f>
        <v/>
      </c>
    </row>
    <row r="77">
      <c r="A77">
        <f>Measurement!A75</f>
        <v/>
      </c>
      <c r="B77">
        <f>Measurement!B75</f>
        <v/>
      </c>
      <c r="C77">
        <f>Measurement!G75</f>
        <v/>
      </c>
      <c r="D77">
        <f>IF(SUMIF(Measurement!$B:$B,B77,Measurement!$G:$G)=0,0,C77/SUMIF(Measurement!$B:$B,B77,Measurement!$G:$G))</f>
        <v/>
      </c>
      <c r="E77">
        <f>Measurement!H75</f>
        <v/>
      </c>
      <c r="F77">
        <f>IF(SUMIF(Measurement!$B:$B,B77,Measurement!$H:$H)=0,0,E77/SUMIF(Measurement!$B:$B,B77,Measurement!$H:$H))</f>
        <v/>
      </c>
      <c r="G77">
        <f>IFERROR(VLOOKUP(B77,Environments!$A$5:$I$50,4,FALSE),0)</f>
        <v/>
      </c>
      <c r="H77">
        <f>IFERROR(VLOOKUP(B77,Environments!$A$5:$I$50,5,FALSE),0)</f>
        <v/>
      </c>
      <c r="I77">
        <f>IFERROR(VLOOKUP(B77,Environments!$A$5:$I$50,9,FALSE),0)</f>
        <v/>
      </c>
      <c r="J77">
        <f>(D77*G77+F77*H77)*Global!$B$3</f>
        <v/>
      </c>
      <c r="K77">
        <f>IF(SUMIF(Measurement!$B:$B,B77,Measurement!$H:$H)=0,D77*I77,F77*I77)</f>
        <v/>
      </c>
      <c r="L77">
        <f>J77+K77</f>
        <v/>
      </c>
      <c r="M77" t="n">
        <v>0</v>
      </c>
      <c r="N77">
        <f>L77+M77</f>
        <v/>
      </c>
      <c r="O77">
        <f>N77*12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With Admin Cost — surcharge applied when Environments!Apply surcharge is TRUE</t>
        </is>
      </c>
    </row>
    <row r="2">
      <c r="A2" t="inlineStr">
        <is>
          <t>Surcharge rate</t>
        </is>
      </c>
      <c r="B2" s="4">
        <f>Global!B14</f>
        <v/>
      </c>
    </row>
    <row r="4">
      <c r="A4" s="2" t="inlineStr">
        <is>
          <t>Family</t>
        </is>
      </c>
      <c r="B4" s="2" t="inlineStr">
        <is>
          <t>Env</t>
        </is>
      </c>
      <c r="C4" s="2" t="inlineStr">
        <is>
          <t>GB hot</t>
        </is>
      </c>
      <c r="D4" s="2" t="inlineStr">
        <is>
          <t>Share hot</t>
        </is>
      </c>
      <c r="E4" s="2" t="inlineStr">
        <is>
          <t>GB frozen</t>
        </is>
      </c>
      <c r="F4" s="2" t="inlineStr">
        <is>
          <t>Share frozen</t>
        </is>
      </c>
      <c r="G4" s="2" t="inlineStr">
        <is>
          <t>Hot ECU/h</t>
        </is>
      </c>
      <c r="H4" s="2" t="inlineStr">
        <is>
          <t>Frozen ECU/h</t>
        </is>
      </c>
      <c r="I4" s="2" t="inlineStr">
        <is>
          <t>Snapshots/mo</t>
        </is>
      </c>
      <c r="J4" s="2" t="inlineStr">
        <is>
          <t>ECU/mo capacity</t>
        </is>
      </c>
      <c r="K4" s="2" t="inlineStr">
        <is>
          <t>ECU/mo snapshots</t>
        </is>
      </c>
      <c r="L4" s="2" t="inlineStr">
        <is>
          <t>ECU/mo Elastic</t>
        </is>
      </c>
      <c r="M4" s="2" t="inlineStr">
        <is>
          <t>ECU/mo surcharge</t>
        </is>
      </c>
      <c r="N4" s="2" t="inlineStr">
        <is>
          <t>ECU/mo total</t>
        </is>
      </c>
      <c r="O4" s="2" t="inlineStr">
        <is>
          <t>ECU/year</t>
        </is>
      </c>
    </row>
    <row r="5">
      <c r="A5">
        <f>Measurement!A3</f>
        <v/>
      </c>
      <c r="B5">
        <f>Measurement!B3</f>
        <v/>
      </c>
      <c r="C5">
        <f>Measurement!G3</f>
        <v/>
      </c>
      <c r="D5">
        <f>IF(SUMIF(Measurement!$B:$B,B5,Measurement!$G:$G)=0,0,C5/SUMIF(Measurement!$B:$B,B5,Measurement!$G:$G))</f>
        <v/>
      </c>
      <c r="E5">
        <f>Measurement!H3</f>
        <v/>
      </c>
      <c r="F5">
        <f>IF(SUMIF(Measurement!$B:$B,B5,Measurement!$H:$H)=0,0,E5/SUMIF(Measurement!$B:$B,B5,Measurement!$H:$H))</f>
        <v/>
      </c>
      <c r="G5">
        <f>IFERROR(VLOOKUP(B5,Environments!$A$5:$I$50,4,FALSE),0)</f>
        <v/>
      </c>
      <c r="H5">
        <f>IFERROR(VLOOKUP(B5,Environments!$A$5:$I$50,5,FALSE),0)</f>
        <v/>
      </c>
      <c r="I5">
        <f>IFERROR(VLOOKUP(B5,Environments!$A$5:$I$50,9,FALSE),0)</f>
        <v/>
      </c>
      <c r="J5">
        <f>(D5*G5+F5*H5)*Global!$B$3</f>
        <v/>
      </c>
      <c r="K5">
        <f>IF(SUMIF(Measurement!$B:$B,B5,Measurement!$H:$H)=0,D5*I5,F5*I5)</f>
        <v/>
      </c>
      <c r="L5">
        <f>J5+K5</f>
        <v/>
      </c>
      <c r="M5">
        <f>IF(IFERROR(VLOOKUP(B5,Environments!$A$5:$I$50,3,FALSE),FALSE),L5*$B$2,0)</f>
        <v/>
      </c>
      <c r="N5">
        <f>L5+M5</f>
        <v/>
      </c>
      <c r="O5">
        <f>N5*12</f>
        <v/>
      </c>
    </row>
    <row r="6">
      <c r="A6">
        <f>Measurement!A4</f>
        <v/>
      </c>
      <c r="B6">
        <f>Measurement!B4</f>
        <v/>
      </c>
      <c r="C6">
        <f>Measurement!G4</f>
        <v/>
      </c>
      <c r="D6">
        <f>IF(SUMIF(Measurement!$B:$B,B6,Measurement!$G:$G)=0,0,C6/SUMIF(Measurement!$B:$B,B6,Measurement!$G:$G))</f>
        <v/>
      </c>
      <c r="E6">
        <f>Measurement!H4</f>
        <v/>
      </c>
      <c r="F6">
        <f>IF(SUMIF(Measurement!$B:$B,B6,Measurement!$H:$H)=0,0,E6/SUMIF(Measurement!$B:$B,B6,Measurement!$H:$H))</f>
        <v/>
      </c>
      <c r="G6">
        <f>IFERROR(VLOOKUP(B6,Environments!$A$5:$I$50,4,FALSE),0)</f>
        <v/>
      </c>
      <c r="H6">
        <f>IFERROR(VLOOKUP(B6,Environments!$A$5:$I$50,5,FALSE),0)</f>
        <v/>
      </c>
      <c r="I6">
        <f>IFERROR(VLOOKUP(B6,Environments!$A$5:$I$50,9,FALSE),0)</f>
        <v/>
      </c>
      <c r="J6">
        <f>(D6*G6+F6*H6)*Global!$B$3</f>
        <v/>
      </c>
      <c r="K6">
        <f>IF(SUMIF(Measurement!$B:$B,B6,Measurement!$H:$H)=0,D6*I6,F6*I6)</f>
        <v/>
      </c>
      <c r="L6">
        <f>J6+K6</f>
        <v/>
      </c>
      <c r="M6">
        <f>IF(IFERROR(VLOOKUP(B6,Environments!$A$5:$I$50,3,FALSE),FALSE),L6*$B$2,0)</f>
        <v/>
      </c>
      <c r="N6">
        <f>L6+M6</f>
        <v/>
      </c>
      <c r="O6">
        <f>N6*12</f>
        <v/>
      </c>
    </row>
    <row r="7">
      <c r="A7">
        <f>Measurement!A5</f>
        <v/>
      </c>
      <c r="B7">
        <f>Measurement!B5</f>
        <v/>
      </c>
      <c r="C7">
        <f>Measurement!G5</f>
        <v/>
      </c>
      <c r="D7">
        <f>IF(SUMIF(Measurement!$B:$B,B7,Measurement!$G:$G)=0,0,C7/SUMIF(Measurement!$B:$B,B7,Measurement!$G:$G))</f>
        <v/>
      </c>
      <c r="E7">
        <f>Measurement!H5</f>
        <v/>
      </c>
      <c r="F7">
        <f>IF(SUMIF(Measurement!$B:$B,B7,Measurement!$H:$H)=0,0,E7/SUMIF(Measurement!$B:$B,B7,Measurement!$H:$H))</f>
        <v/>
      </c>
      <c r="G7">
        <f>IFERROR(VLOOKUP(B7,Environments!$A$5:$I$50,4,FALSE),0)</f>
        <v/>
      </c>
      <c r="H7">
        <f>IFERROR(VLOOKUP(B7,Environments!$A$5:$I$50,5,FALSE),0)</f>
        <v/>
      </c>
      <c r="I7">
        <f>IFERROR(VLOOKUP(B7,Environments!$A$5:$I$50,9,FALSE),0)</f>
        <v/>
      </c>
      <c r="J7">
        <f>(D7*G7+F7*H7)*Global!$B$3</f>
        <v/>
      </c>
      <c r="K7">
        <f>IF(SUMIF(Measurement!$B:$B,B7,Measurement!$H:$H)=0,D7*I7,F7*I7)</f>
        <v/>
      </c>
      <c r="L7">
        <f>J7+K7</f>
        <v/>
      </c>
      <c r="M7">
        <f>IF(IFERROR(VLOOKUP(B7,Environments!$A$5:$I$50,3,FALSE),FALSE),L7*$B$2,0)</f>
        <v/>
      </c>
      <c r="N7">
        <f>L7+M7</f>
        <v/>
      </c>
      <c r="O7">
        <f>N7*12</f>
        <v/>
      </c>
    </row>
    <row r="8">
      <c r="A8">
        <f>Measurement!A6</f>
        <v/>
      </c>
      <c r="B8">
        <f>Measurement!B6</f>
        <v/>
      </c>
      <c r="C8">
        <f>Measurement!G6</f>
        <v/>
      </c>
      <c r="D8">
        <f>IF(SUMIF(Measurement!$B:$B,B8,Measurement!$G:$G)=0,0,C8/SUMIF(Measurement!$B:$B,B8,Measurement!$G:$G))</f>
        <v/>
      </c>
      <c r="E8">
        <f>Measurement!H6</f>
        <v/>
      </c>
      <c r="F8">
        <f>IF(SUMIF(Measurement!$B:$B,B8,Measurement!$H:$H)=0,0,E8/SUMIF(Measurement!$B:$B,B8,Measurement!$H:$H))</f>
        <v/>
      </c>
      <c r="G8">
        <f>IFERROR(VLOOKUP(B8,Environments!$A$5:$I$50,4,FALSE),0)</f>
        <v/>
      </c>
      <c r="H8">
        <f>IFERROR(VLOOKUP(B8,Environments!$A$5:$I$50,5,FALSE),0)</f>
        <v/>
      </c>
      <c r="I8">
        <f>IFERROR(VLOOKUP(B8,Environments!$A$5:$I$50,9,FALSE),0)</f>
        <v/>
      </c>
      <c r="J8">
        <f>(D8*G8+F8*H8)*Global!$B$3</f>
        <v/>
      </c>
      <c r="K8">
        <f>IF(SUMIF(Measurement!$B:$B,B8,Measurement!$H:$H)=0,D8*I8,F8*I8)</f>
        <v/>
      </c>
      <c r="L8">
        <f>J8+K8</f>
        <v/>
      </c>
      <c r="M8">
        <f>IF(IFERROR(VLOOKUP(B8,Environments!$A$5:$I$50,3,FALSE),FALSE),L8*$B$2,0)</f>
        <v/>
      </c>
      <c r="N8">
        <f>L8+M8</f>
        <v/>
      </c>
      <c r="O8">
        <f>N8*12</f>
        <v/>
      </c>
    </row>
    <row r="9">
      <c r="A9">
        <f>Measurement!A7</f>
        <v/>
      </c>
      <c r="B9">
        <f>Measurement!B7</f>
        <v/>
      </c>
      <c r="C9">
        <f>Measurement!G7</f>
        <v/>
      </c>
      <c r="D9">
        <f>IF(SUMIF(Measurement!$B:$B,B9,Measurement!$G:$G)=0,0,C9/SUMIF(Measurement!$B:$B,B9,Measurement!$G:$G))</f>
        <v/>
      </c>
      <c r="E9">
        <f>Measurement!H7</f>
        <v/>
      </c>
      <c r="F9">
        <f>IF(SUMIF(Measurement!$B:$B,B9,Measurement!$H:$H)=0,0,E9/SUMIF(Measurement!$B:$B,B9,Measurement!$H:$H))</f>
        <v/>
      </c>
      <c r="G9">
        <f>IFERROR(VLOOKUP(B9,Environments!$A$5:$I$50,4,FALSE),0)</f>
        <v/>
      </c>
      <c r="H9">
        <f>IFERROR(VLOOKUP(B9,Environments!$A$5:$I$50,5,FALSE),0)</f>
        <v/>
      </c>
      <c r="I9">
        <f>IFERROR(VLOOKUP(B9,Environments!$A$5:$I$50,9,FALSE),0)</f>
        <v/>
      </c>
      <c r="J9">
        <f>(D9*G9+F9*H9)*Global!$B$3</f>
        <v/>
      </c>
      <c r="K9">
        <f>IF(SUMIF(Measurement!$B:$B,B9,Measurement!$H:$H)=0,D9*I9,F9*I9)</f>
        <v/>
      </c>
      <c r="L9">
        <f>J9+K9</f>
        <v/>
      </c>
      <c r="M9">
        <f>IF(IFERROR(VLOOKUP(B9,Environments!$A$5:$I$50,3,FALSE),FALSE),L9*$B$2,0)</f>
        <v/>
      </c>
      <c r="N9">
        <f>L9+M9</f>
        <v/>
      </c>
      <c r="O9">
        <f>N9*12</f>
        <v/>
      </c>
    </row>
    <row r="10">
      <c r="A10">
        <f>Measurement!A8</f>
        <v/>
      </c>
      <c r="B10">
        <f>Measurement!B8</f>
        <v/>
      </c>
      <c r="C10">
        <f>Measurement!G8</f>
        <v/>
      </c>
      <c r="D10">
        <f>IF(SUMIF(Measurement!$B:$B,B10,Measurement!$G:$G)=0,0,C10/SUMIF(Measurement!$B:$B,B10,Measurement!$G:$G))</f>
        <v/>
      </c>
      <c r="E10">
        <f>Measurement!H8</f>
        <v/>
      </c>
      <c r="F10">
        <f>IF(SUMIF(Measurement!$B:$B,B10,Measurement!$H:$H)=0,0,E10/SUMIF(Measurement!$B:$B,B10,Measurement!$H:$H))</f>
        <v/>
      </c>
      <c r="G10">
        <f>IFERROR(VLOOKUP(B10,Environments!$A$5:$I$50,4,FALSE),0)</f>
        <v/>
      </c>
      <c r="H10">
        <f>IFERROR(VLOOKUP(B10,Environments!$A$5:$I$50,5,FALSE),0)</f>
        <v/>
      </c>
      <c r="I10">
        <f>IFERROR(VLOOKUP(B10,Environments!$A$5:$I$50,9,FALSE),0)</f>
        <v/>
      </c>
      <c r="J10">
        <f>(D10*G10+F10*H10)*Global!$B$3</f>
        <v/>
      </c>
      <c r="K10">
        <f>IF(SUMIF(Measurement!$B:$B,B10,Measurement!$H:$H)=0,D10*I10,F10*I10)</f>
        <v/>
      </c>
      <c r="L10">
        <f>J10+K10</f>
        <v/>
      </c>
      <c r="M10">
        <f>IF(IFERROR(VLOOKUP(B10,Environments!$A$5:$I$50,3,FALSE),FALSE),L10*$B$2,0)</f>
        <v/>
      </c>
      <c r="N10">
        <f>L10+M10</f>
        <v/>
      </c>
      <c r="O10">
        <f>N10*12</f>
        <v/>
      </c>
    </row>
    <row r="11">
      <c r="A11">
        <f>Measurement!A9</f>
        <v/>
      </c>
      <c r="B11">
        <f>Measurement!B9</f>
        <v/>
      </c>
      <c r="C11">
        <f>Measurement!G9</f>
        <v/>
      </c>
      <c r="D11">
        <f>IF(SUMIF(Measurement!$B:$B,B11,Measurement!$G:$G)=0,0,C11/SUMIF(Measurement!$B:$B,B11,Measurement!$G:$G))</f>
        <v/>
      </c>
      <c r="E11">
        <f>Measurement!H9</f>
        <v/>
      </c>
      <c r="F11">
        <f>IF(SUMIF(Measurement!$B:$B,B11,Measurement!$H:$H)=0,0,E11/SUMIF(Measurement!$B:$B,B11,Measurement!$H:$H))</f>
        <v/>
      </c>
      <c r="G11">
        <f>IFERROR(VLOOKUP(B11,Environments!$A$5:$I$50,4,FALSE),0)</f>
        <v/>
      </c>
      <c r="H11">
        <f>IFERROR(VLOOKUP(B11,Environments!$A$5:$I$50,5,FALSE),0)</f>
        <v/>
      </c>
      <c r="I11">
        <f>IFERROR(VLOOKUP(B11,Environments!$A$5:$I$50,9,FALSE),0)</f>
        <v/>
      </c>
      <c r="J11">
        <f>(D11*G11+F11*H11)*Global!$B$3</f>
        <v/>
      </c>
      <c r="K11">
        <f>IF(SUMIF(Measurement!$B:$B,B11,Measurement!$H:$H)=0,D11*I11,F11*I11)</f>
        <v/>
      </c>
      <c r="L11">
        <f>J11+K11</f>
        <v/>
      </c>
      <c r="M11">
        <f>IF(IFERROR(VLOOKUP(B11,Environments!$A$5:$I$50,3,FALSE),FALSE),L11*$B$2,0)</f>
        <v/>
      </c>
      <c r="N11">
        <f>L11+M11</f>
        <v/>
      </c>
      <c r="O11">
        <f>N11*12</f>
        <v/>
      </c>
    </row>
    <row r="12">
      <c r="A12">
        <f>Measurement!A10</f>
        <v/>
      </c>
      <c r="B12">
        <f>Measurement!B10</f>
        <v/>
      </c>
      <c r="C12">
        <f>Measurement!G10</f>
        <v/>
      </c>
      <c r="D12">
        <f>IF(SUMIF(Measurement!$B:$B,B12,Measurement!$G:$G)=0,0,C12/SUMIF(Measurement!$B:$B,B12,Measurement!$G:$G))</f>
        <v/>
      </c>
      <c r="E12">
        <f>Measurement!H10</f>
        <v/>
      </c>
      <c r="F12">
        <f>IF(SUMIF(Measurement!$B:$B,B12,Measurement!$H:$H)=0,0,E12/SUMIF(Measurement!$B:$B,B12,Measurement!$H:$H))</f>
        <v/>
      </c>
      <c r="G12">
        <f>IFERROR(VLOOKUP(B12,Environments!$A$5:$I$50,4,FALSE),0)</f>
        <v/>
      </c>
      <c r="H12">
        <f>IFERROR(VLOOKUP(B12,Environments!$A$5:$I$50,5,FALSE),0)</f>
        <v/>
      </c>
      <c r="I12">
        <f>IFERROR(VLOOKUP(B12,Environments!$A$5:$I$50,9,FALSE),0)</f>
        <v/>
      </c>
      <c r="J12">
        <f>(D12*G12+F12*H12)*Global!$B$3</f>
        <v/>
      </c>
      <c r="K12">
        <f>IF(SUMIF(Measurement!$B:$B,B12,Measurement!$H:$H)=0,D12*I12,F12*I12)</f>
        <v/>
      </c>
      <c r="L12">
        <f>J12+K12</f>
        <v/>
      </c>
      <c r="M12">
        <f>IF(IFERROR(VLOOKUP(B12,Environments!$A$5:$I$50,3,FALSE),FALSE),L12*$B$2,0)</f>
        <v/>
      </c>
      <c r="N12">
        <f>L12+M12</f>
        <v/>
      </c>
      <c r="O12">
        <f>N12*12</f>
        <v/>
      </c>
    </row>
    <row r="13">
      <c r="A13">
        <f>Measurement!A11</f>
        <v/>
      </c>
      <c r="B13">
        <f>Measurement!B11</f>
        <v/>
      </c>
      <c r="C13">
        <f>Measurement!G11</f>
        <v/>
      </c>
      <c r="D13">
        <f>IF(SUMIF(Measurement!$B:$B,B13,Measurement!$G:$G)=0,0,C13/SUMIF(Measurement!$B:$B,B13,Measurement!$G:$G))</f>
        <v/>
      </c>
      <c r="E13">
        <f>Measurement!H11</f>
        <v/>
      </c>
      <c r="F13">
        <f>IF(SUMIF(Measurement!$B:$B,B13,Measurement!$H:$H)=0,0,E13/SUMIF(Measurement!$B:$B,B13,Measurement!$H:$H))</f>
        <v/>
      </c>
      <c r="G13">
        <f>IFERROR(VLOOKUP(B13,Environments!$A$5:$I$50,4,FALSE),0)</f>
        <v/>
      </c>
      <c r="H13">
        <f>IFERROR(VLOOKUP(B13,Environments!$A$5:$I$50,5,FALSE),0)</f>
        <v/>
      </c>
      <c r="I13">
        <f>IFERROR(VLOOKUP(B13,Environments!$A$5:$I$50,9,FALSE),0)</f>
        <v/>
      </c>
      <c r="J13">
        <f>(D13*G13+F13*H13)*Global!$B$3</f>
        <v/>
      </c>
      <c r="K13">
        <f>IF(SUMIF(Measurement!$B:$B,B13,Measurement!$H:$H)=0,D13*I13,F13*I13)</f>
        <v/>
      </c>
      <c r="L13">
        <f>J13+K13</f>
        <v/>
      </c>
      <c r="M13">
        <f>IF(IFERROR(VLOOKUP(B13,Environments!$A$5:$I$50,3,FALSE),FALSE),L13*$B$2,0)</f>
        <v/>
      </c>
      <c r="N13">
        <f>L13+M13</f>
        <v/>
      </c>
      <c r="O13">
        <f>N13*12</f>
        <v/>
      </c>
    </row>
    <row r="14">
      <c r="A14">
        <f>Measurement!A12</f>
        <v/>
      </c>
      <c r="B14">
        <f>Measurement!B12</f>
        <v/>
      </c>
      <c r="C14">
        <f>Measurement!G12</f>
        <v/>
      </c>
      <c r="D14">
        <f>IF(SUMIF(Measurement!$B:$B,B14,Measurement!$G:$G)=0,0,C14/SUMIF(Measurement!$B:$B,B14,Measurement!$G:$G))</f>
        <v/>
      </c>
      <c r="E14">
        <f>Measurement!H12</f>
        <v/>
      </c>
      <c r="F14">
        <f>IF(SUMIF(Measurement!$B:$B,B14,Measurement!$H:$H)=0,0,E14/SUMIF(Measurement!$B:$B,B14,Measurement!$H:$H))</f>
        <v/>
      </c>
      <c r="G14">
        <f>IFERROR(VLOOKUP(B14,Environments!$A$5:$I$50,4,FALSE),0)</f>
        <v/>
      </c>
      <c r="H14">
        <f>IFERROR(VLOOKUP(B14,Environments!$A$5:$I$50,5,FALSE),0)</f>
        <v/>
      </c>
      <c r="I14">
        <f>IFERROR(VLOOKUP(B14,Environments!$A$5:$I$50,9,FALSE),0)</f>
        <v/>
      </c>
      <c r="J14">
        <f>(D14*G14+F14*H14)*Global!$B$3</f>
        <v/>
      </c>
      <c r="K14">
        <f>IF(SUMIF(Measurement!$B:$B,B14,Measurement!$H:$H)=0,D14*I14,F14*I14)</f>
        <v/>
      </c>
      <c r="L14">
        <f>J14+K14</f>
        <v/>
      </c>
      <c r="M14">
        <f>IF(IFERROR(VLOOKUP(B14,Environments!$A$5:$I$50,3,FALSE),FALSE),L14*$B$2,0)</f>
        <v/>
      </c>
      <c r="N14">
        <f>L14+M14</f>
        <v/>
      </c>
      <c r="O14">
        <f>N14*12</f>
        <v/>
      </c>
    </row>
    <row r="15">
      <c r="A15">
        <f>Measurement!A13</f>
        <v/>
      </c>
      <c r="B15">
        <f>Measurement!B13</f>
        <v/>
      </c>
      <c r="C15">
        <f>Measurement!G13</f>
        <v/>
      </c>
      <c r="D15">
        <f>IF(SUMIF(Measurement!$B:$B,B15,Measurement!$G:$G)=0,0,C15/SUMIF(Measurement!$B:$B,B15,Measurement!$G:$G))</f>
        <v/>
      </c>
      <c r="E15">
        <f>Measurement!H13</f>
        <v/>
      </c>
      <c r="F15">
        <f>IF(SUMIF(Measurement!$B:$B,B15,Measurement!$H:$H)=0,0,E15/SUMIF(Measurement!$B:$B,B15,Measurement!$H:$H))</f>
        <v/>
      </c>
      <c r="G15">
        <f>IFERROR(VLOOKUP(B15,Environments!$A$5:$I$50,4,FALSE),0)</f>
        <v/>
      </c>
      <c r="H15">
        <f>IFERROR(VLOOKUP(B15,Environments!$A$5:$I$50,5,FALSE),0)</f>
        <v/>
      </c>
      <c r="I15">
        <f>IFERROR(VLOOKUP(B15,Environments!$A$5:$I$50,9,FALSE),0)</f>
        <v/>
      </c>
      <c r="J15">
        <f>(D15*G15+F15*H15)*Global!$B$3</f>
        <v/>
      </c>
      <c r="K15">
        <f>IF(SUMIF(Measurement!$B:$B,B15,Measurement!$H:$H)=0,D15*I15,F15*I15)</f>
        <v/>
      </c>
      <c r="L15">
        <f>J15+K15</f>
        <v/>
      </c>
      <c r="M15">
        <f>IF(IFERROR(VLOOKUP(B15,Environments!$A$5:$I$50,3,FALSE),FALSE),L15*$B$2,0)</f>
        <v/>
      </c>
      <c r="N15">
        <f>L15+M15</f>
        <v/>
      </c>
      <c r="O15">
        <f>N15*12</f>
        <v/>
      </c>
    </row>
    <row r="16">
      <c r="A16">
        <f>Measurement!A14</f>
        <v/>
      </c>
      <c r="B16">
        <f>Measurement!B14</f>
        <v/>
      </c>
      <c r="C16">
        <f>Measurement!G14</f>
        <v/>
      </c>
      <c r="D16">
        <f>IF(SUMIF(Measurement!$B:$B,B16,Measurement!$G:$G)=0,0,C16/SUMIF(Measurement!$B:$B,B16,Measurement!$G:$G))</f>
        <v/>
      </c>
      <c r="E16">
        <f>Measurement!H14</f>
        <v/>
      </c>
      <c r="F16">
        <f>IF(SUMIF(Measurement!$B:$B,B16,Measurement!$H:$H)=0,0,E16/SUMIF(Measurement!$B:$B,B16,Measurement!$H:$H))</f>
        <v/>
      </c>
      <c r="G16">
        <f>IFERROR(VLOOKUP(B16,Environments!$A$5:$I$50,4,FALSE),0)</f>
        <v/>
      </c>
      <c r="H16">
        <f>IFERROR(VLOOKUP(B16,Environments!$A$5:$I$50,5,FALSE),0)</f>
        <v/>
      </c>
      <c r="I16">
        <f>IFERROR(VLOOKUP(B16,Environments!$A$5:$I$50,9,FALSE),0)</f>
        <v/>
      </c>
      <c r="J16">
        <f>(D16*G16+F16*H16)*Global!$B$3</f>
        <v/>
      </c>
      <c r="K16">
        <f>IF(SUMIF(Measurement!$B:$B,B16,Measurement!$H:$H)=0,D16*I16,F16*I16)</f>
        <v/>
      </c>
      <c r="L16">
        <f>J16+K16</f>
        <v/>
      </c>
      <c r="M16">
        <f>IF(IFERROR(VLOOKUP(B16,Environments!$A$5:$I$50,3,FALSE),FALSE),L16*$B$2,0)</f>
        <v/>
      </c>
      <c r="N16">
        <f>L16+M16</f>
        <v/>
      </c>
      <c r="O16">
        <f>N16*12</f>
        <v/>
      </c>
    </row>
    <row r="17">
      <c r="A17">
        <f>Measurement!A15</f>
        <v/>
      </c>
      <c r="B17">
        <f>Measurement!B15</f>
        <v/>
      </c>
      <c r="C17">
        <f>Measurement!G15</f>
        <v/>
      </c>
      <c r="D17">
        <f>IF(SUMIF(Measurement!$B:$B,B17,Measurement!$G:$G)=0,0,C17/SUMIF(Measurement!$B:$B,B17,Measurement!$G:$G))</f>
        <v/>
      </c>
      <c r="E17">
        <f>Measurement!H15</f>
        <v/>
      </c>
      <c r="F17">
        <f>IF(SUMIF(Measurement!$B:$B,B17,Measurement!$H:$H)=0,0,E17/SUMIF(Measurement!$B:$B,B17,Measurement!$H:$H))</f>
        <v/>
      </c>
      <c r="G17">
        <f>IFERROR(VLOOKUP(B17,Environments!$A$5:$I$50,4,FALSE),0)</f>
        <v/>
      </c>
      <c r="H17">
        <f>IFERROR(VLOOKUP(B17,Environments!$A$5:$I$50,5,FALSE),0)</f>
        <v/>
      </c>
      <c r="I17">
        <f>IFERROR(VLOOKUP(B17,Environments!$A$5:$I$50,9,FALSE),0)</f>
        <v/>
      </c>
      <c r="J17">
        <f>(D17*G17+F17*H17)*Global!$B$3</f>
        <v/>
      </c>
      <c r="K17">
        <f>IF(SUMIF(Measurement!$B:$B,B17,Measurement!$H:$H)=0,D17*I17,F17*I17)</f>
        <v/>
      </c>
      <c r="L17">
        <f>J17+K17</f>
        <v/>
      </c>
      <c r="M17">
        <f>IF(IFERROR(VLOOKUP(B17,Environments!$A$5:$I$50,3,FALSE),FALSE),L17*$B$2,0)</f>
        <v/>
      </c>
      <c r="N17">
        <f>L17+M17</f>
        <v/>
      </c>
      <c r="O17">
        <f>N17*12</f>
        <v/>
      </c>
    </row>
    <row r="18">
      <c r="A18">
        <f>Measurement!A16</f>
        <v/>
      </c>
      <c r="B18">
        <f>Measurement!B16</f>
        <v/>
      </c>
      <c r="C18">
        <f>Measurement!G16</f>
        <v/>
      </c>
      <c r="D18">
        <f>IF(SUMIF(Measurement!$B:$B,B18,Measurement!$G:$G)=0,0,C18/SUMIF(Measurement!$B:$B,B18,Measurement!$G:$G))</f>
        <v/>
      </c>
      <c r="E18">
        <f>Measurement!H16</f>
        <v/>
      </c>
      <c r="F18">
        <f>IF(SUMIF(Measurement!$B:$B,B18,Measurement!$H:$H)=0,0,E18/SUMIF(Measurement!$B:$B,B18,Measurement!$H:$H))</f>
        <v/>
      </c>
      <c r="G18">
        <f>IFERROR(VLOOKUP(B18,Environments!$A$5:$I$50,4,FALSE),0)</f>
        <v/>
      </c>
      <c r="H18">
        <f>IFERROR(VLOOKUP(B18,Environments!$A$5:$I$50,5,FALSE),0)</f>
        <v/>
      </c>
      <c r="I18">
        <f>IFERROR(VLOOKUP(B18,Environments!$A$5:$I$50,9,FALSE),0)</f>
        <v/>
      </c>
      <c r="J18">
        <f>(D18*G18+F18*H18)*Global!$B$3</f>
        <v/>
      </c>
      <c r="K18">
        <f>IF(SUMIF(Measurement!$B:$B,B18,Measurement!$H:$H)=0,D18*I18,F18*I18)</f>
        <v/>
      </c>
      <c r="L18">
        <f>J18+K18</f>
        <v/>
      </c>
      <c r="M18">
        <f>IF(IFERROR(VLOOKUP(B18,Environments!$A$5:$I$50,3,FALSE),FALSE),L18*$B$2,0)</f>
        <v/>
      </c>
      <c r="N18">
        <f>L18+M18</f>
        <v/>
      </c>
      <c r="O18">
        <f>N18*12</f>
        <v/>
      </c>
    </row>
    <row r="19">
      <c r="A19">
        <f>Measurement!A17</f>
        <v/>
      </c>
      <c r="B19">
        <f>Measurement!B17</f>
        <v/>
      </c>
      <c r="C19">
        <f>Measurement!G17</f>
        <v/>
      </c>
      <c r="D19">
        <f>IF(SUMIF(Measurement!$B:$B,B19,Measurement!$G:$G)=0,0,C19/SUMIF(Measurement!$B:$B,B19,Measurement!$G:$G))</f>
        <v/>
      </c>
      <c r="E19">
        <f>Measurement!H17</f>
        <v/>
      </c>
      <c r="F19">
        <f>IF(SUMIF(Measurement!$B:$B,B19,Measurement!$H:$H)=0,0,E19/SUMIF(Measurement!$B:$B,B19,Measurement!$H:$H))</f>
        <v/>
      </c>
      <c r="G19">
        <f>IFERROR(VLOOKUP(B19,Environments!$A$5:$I$50,4,FALSE),0)</f>
        <v/>
      </c>
      <c r="H19">
        <f>IFERROR(VLOOKUP(B19,Environments!$A$5:$I$50,5,FALSE),0)</f>
        <v/>
      </c>
      <c r="I19">
        <f>IFERROR(VLOOKUP(B19,Environments!$A$5:$I$50,9,FALSE),0)</f>
        <v/>
      </c>
      <c r="J19">
        <f>(D19*G19+F19*H19)*Global!$B$3</f>
        <v/>
      </c>
      <c r="K19">
        <f>IF(SUMIF(Measurement!$B:$B,B19,Measurement!$H:$H)=0,D19*I19,F19*I19)</f>
        <v/>
      </c>
      <c r="L19">
        <f>J19+K19</f>
        <v/>
      </c>
      <c r="M19">
        <f>IF(IFERROR(VLOOKUP(B19,Environments!$A$5:$I$50,3,FALSE),FALSE),L19*$B$2,0)</f>
        <v/>
      </c>
      <c r="N19">
        <f>L19+M19</f>
        <v/>
      </c>
      <c r="O19">
        <f>N19*12</f>
        <v/>
      </c>
    </row>
    <row r="20">
      <c r="A20">
        <f>Measurement!A18</f>
        <v/>
      </c>
      <c r="B20">
        <f>Measurement!B18</f>
        <v/>
      </c>
      <c r="C20">
        <f>Measurement!G18</f>
        <v/>
      </c>
      <c r="D20">
        <f>IF(SUMIF(Measurement!$B:$B,B20,Measurement!$G:$G)=0,0,C20/SUMIF(Measurement!$B:$B,B20,Measurement!$G:$G))</f>
        <v/>
      </c>
      <c r="E20">
        <f>Measurement!H18</f>
        <v/>
      </c>
      <c r="F20">
        <f>IF(SUMIF(Measurement!$B:$B,B20,Measurement!$H:$H)=0,0,E20/SUMIF(Measurement!$B:$B,B20,Measurement!$H:$H))</f>
        <v/>
      </c>
      <c r="G20">
        <f>IFERROR(VLOOKUP(B20,Environments!$A$5:$I$50,4,FALSE),0)</f>
        <v/>
      </c>
      <c r="H20">
        <f>IFERROR(VLOOKUP(B20,Environments!$A$5:$I$50,5,FALSE),0)</f>
        <v/>
      </c>
      <c r="I20">
        <f>IFERROR(VLOOKUP(B20,Environments!$A$5:$I$50,9,FALSE),0)</f>
        <v/>
      </c>
      <c r="J20">
        <f>(D20*G20+F20*H20)*Global!$B$3</f>
        <v/>
      </c>
      <c r="K20">
        <f>IF(SUMIF(Measurement!$B:$B,B20,Measurement!$H:$H)=0,D20*I20,F20*I20)</f>
        <v/>
      </c>
      <c r="L20">
        <f>J20+K20</f>
        <v/>
      </c>
      <c r="M20">
        <f>IF(IFERROR(VLOOKUP(B20,Environments!$A$5:$I$50,3,FALSE),FALSE),L20*$B$2,0)</f>
        <v/>
      </c>
      <c r="N20">
        <f>L20+M20</f>
        <v/>
      </c>
      <c r="O20">
        <f>N20*12</f>
        <v/>
      </c>
    </row>
    <row r="21">
      <c r="A21">
        <f>Measurement!A19</f>
        <v/>
      </c>
      <c r="B21">
        <f>Measurement!B19</f>
        <v/>
      </c>
      <c r="C21">
        <f>Measurement!G19</f>
        <v/>
      </c>
      <c r="D21">
        <f>IF(SUMIF(Measurement!$B:$B,B21,Measurement!$G:$G)=0,0,C21/SUMIF(Measurement!$B:$B,B21,Measurement!$G:$G))</f>
        <v/>
      </c>
      <c r="E21">
        <f>Measurement!H19</f>
        <v/>
      </c>
      <c r="F21">
        <f>IF(SUMIF(Measurement!$B:$B,B21,Measurement!$H:$H)=0,0,E21/SUMIF(Measurement!$B:$B,B21,Measurement!$H:$H))</f>
        <v/>
      </c>
      <c r="G21">
        <f>IFERROR(VLOOKUP(B21,Environments!$A$5:$I$50,4,FALSE),0)</f>
        <v/>
      </c>
      <c r="H21">
        <f>IFERROR(VLOOKUP(B21,Environments!$A$5:$I$50,5,FALSE),0)</f>
        <v/>
      </c>
      <c r="I21">
        <f>IFERROR(VLOOKUP(B21,Environments!$A$5:$I$50,9,FALSE),0)</f>
        <v/>
      </c>
      <c r="J21">
        <f>(D21*G21+F21*H21)*Global!$B$3</f>
        <v/>
      </c>
      <c r="K21">
        <f>IF(SUMIF(Measurement!$B:$B,B21,Measurement!$H:$H)=0,D21*I21,F21*I21)</f>
        <v/>
      </c>
      <c r="L21">
        <f>J21+K21</f>
        <v/>
      </c>
      <c r="M21">
        <f>IF(IFERROR(VLOOKUP(B21,Environments!$A$5:$I$50,3,FALSE),FALSE),L21*$B$2,0)</f>
        <v/>
      </c>
      <c r="N21">
        <f>L21+M21</f>
        <v/>
      </c>
      <c r="O21">
        <f>N21*12</f>
        <v/>
      </c>
    </row>
    <row r="22">
      <c r="A22">
        <f>Measurement!A20</f>
        <v/>
      </c>
      <c r="B22">
        <f>Measurement!B20</f>
        <v/>
      </c>
      <c r="C22">
        <f>Measurement!G20</f>
        <v/>
      </c>
      <c r="D22">
        <f>IF(SUMIF(Measurement!$B:$B,B22,Measurement!$G:$G)=0,0,C22/SUMIF(Measurement!$B:$B,B22,Measurement!$G:$G))</f>
        <v/>
      </c>
      <c r="E22">
        <f>Measurement!H20</f>
        <v/>
      </c>
      <c r="F22">
        <f>IF(SUMIF(Measurement!$B:$B,B22,Measurement!$H:$H)=0,0,E22/SUMIF(Measurement!$B:$B,B22,Measurement!$H:$H))</f>
        <v/>
      </c>
      <c r="G22">
        <f>IFERROR(VLOOKUP(B22,Environments!$A$5:$I$50,4,FALSE),0)</f>
        <v/>
      </c>
      <c r="H22">
        <f>IFERROR(VLOOKUP(B22,Environments!$A$5:$I$50,5,FALSE),0)</f>
        <v/>
      </c>
      <c r="I22">
        <f>IFERROR(VLOOKUP(B22,Environments!$A$5:$I$50,9,FALSE),0)</f>
        <v/>
      </c>
      <c r="J22">
        <f>(D22*G22+F22*H22)*Global!$B$3</f>
        <v/>
      </c>
      <c r="K22">
        <f>IF(SUMIF(Measurement!$B:$B,B22,Measurement!$H:$H)=0,D22*I22,F22*I22)</f>
        <v/>
      </c>
      <c r="L22">
        <f>J22+K22</f>
        <v/>
      </c>
      <c r="M22">
        <f>IF(IFERROR(VLOOKUP(B22,Environments!$A$5:$I$50,3,FALSE),FALSE),L22*$B$2,0)</f>
        <v/>
      </c>
      <c r="N22">
        <f>L22+M22</f>
        <v/>
      </c>
      <c r="O22">
        <f>N22*12</f>
        <v/>
      </c>
    </row>
    <row r="23">
      <c r="A23">
        <f>Measurement!A21</f>
        <v/>
      </c>
      <c r="B23">
        <f>Measurement!B21</f>
        <v/>
      </c>
      <c r="C23">
        <f>Measurement!G21</f>
        <v/>
      </c>
      <c r="D23">
        <f>IF(SUMIF(Measurement!$B:$B,B23,Measurement!$G:$G)=0,0,C23/SUMIF(Measurement!$B:$B,B23,Measurement!$G:$G))</f>
        <v/>
      </c>
      <c r="E23">
        <f>Measurement!H21</f>
        <v/>
      </c>
      <c r="F23">
        <f>IF(SUMIF(Measurement!$B:$B,B23,Measurement!$H:$H)=0,0,E23/SUMIF(Measurement!$B:$B,B23,Measurement!$H:$H))</f>
        <v/>
      </c>
      <c r="G23">
        <f>IFERROR(VLOOKUP(B23,Environments!$A$5:$I$50,4,FALSE),0)</f>
        <v/>
      </c>
      <c r="H23">
        <f>IFERROR(VLOOKUP(B23,Environments!$A$5:$I$50,5,FALSE),0)</f>
        <v/>
      </c>
      <c r="I23">
        <f>IFERROR(VLOOKUP(B23,Environments!$A$5:$I$50,9,FALSE),0)</f>
        <v/>
      </c>
      <c r="J23">
        <f>(D23*G23+F23*H23)*Global!$B$3</f>
        <v/>
      </c>
      <c r="K23">
        <f>IF(SUMIF(Measurement!$B:$B,B23,Measurement!$H:$H)=0,D23*I23,F23*I23)</f>
        <v/>
      </c>
      <c r="L23">
        <f>J23+K23</f>
        <v/>
      </c>
      <c r="M23">
        <f>IF(IFERROR(VLOOKUP(B23,Environments!$A$5:$I$50,3,FALSE),FALSE),L23*$B$2,0)</f>
        <v/>
      </c>
      <c r="N23">
        <f>L23+M23</f>
        <v/>
      </c>
      <c r="O23">
        <f>N23*12</f>
        <v/>
      </c>
    </row>
    <row r="24">
      <c r="A24">
        <f>Measurement!A22</f>
        <v/>
      </c>
      <c r="B24">
        <f>Measurement!B22</f>
        <v/>
      </c>
      <c r="C24">
        <f>Measurement!G22</f>
        <v/>
      </c>
      <c r="D24">
        <f>IF(SUMIF(Measurement!$B:$B,B24,Measurement!$G:$G)=0,0,C24/SUMIF(Measurement!$B:$B,B24,Measurement!$G:$G))</f>
        <v/>
      </c>
      <c r="E24">
        <f>Measurement!H22</f>
        <v/>
      </c>
      <c r="F24">
        <f>IF(SUMIF(Measurement!$B:$B,B24,Measurement!$H:$H)=0,0,E24/SUMIF(Measurement!$B:$B,B24,Measurement!$H:$H))</f>
        <v/>
      </c>
      <c r="G24">
        <f>IFERROR(VLOOKUP(B24,Environments!$A$5:$I$50,4,FALSE),0)</f>
        <v/>
      </c>
      <c r="H24">
        <f>IFERROR(VLOOKUP(B24,Environments!$A$5:$I$50,5,FALSE),0)</f>
        <v/>
      </c>
      <c r="I24">
        <f>IFERROR(VLOOKUP(B24,Environments!$A$5:$I$50,9,FALSE),0)</f>
        <v/>
      </c>
      <c r="J24">
        <f>(D24*G24+F24*H24)*Global!$B$3</f>
        <v/>
      </c>
      <c r="K24">
        <f>IF(SUMIF(Measurement!$B:$B,B24,Measurement!$H:$H)=0,D24*I24,F24*I24)</f>
        <v/>
      </c>
      <c r="L24">
        <f>J24+K24</f>
        <v/>
      </c>
      <c r="M24">
        <f>IF(IFERROR(VLOOKUP(B24,Environments!$A$5:$I$50,3,FALSE),FALSE),L24*$B$2,0)</f>
        <v/>
      </c>
      <c r="N24">
        <f>L24+M24</f>
        <v/>
      </c>
      <c r="O24">
        <f>N24*12</f>
        <v/>
      </c>
    </row>
    <row r="25">
      <c r="A25">
        <f>Measurement!A23</f>
        <v/>
      </c>
      <c r="B25">
        <f>Measurement!B23</f>
        <v/>
      </c>
      <c r="C25">
        <f>Measurement!G23</f>
        <v/>
      </c>
      <c r="D25">
        <f>IF(SUMIF(Measurement!$B:$B,B25,Measurement!$G:$G)=0,0,C25/SUMIF(Measurement!$B:$B,B25,Measurement!$G:$G))</f>
        <v/>
      </c>
      <c r="E25">
        <f>Measurement!H23</f>
        <v/>
      </c>
      <c r="F25">
        <f>IF(SUMIF(Measurement!$B:$B,B25,Measurement!$H:$H)=0,0,E25/SUMIF(Measurement!$B:$B,B25,Measurement!$H:$H))</f>
        <v/>
      </c>
      <c r="G25">
        <f>IFERROR(VLOOKUP(B25,Environments!$A$5:$I$50,4,FALSE),0)</f>
        <v/>
      </c>
      <c r="H25">
        <f>IFERROR(VLOOKUP(B25,Environments!$A$5:$I$50,5,FALSE),0)</f>
        <v/>
      </c>
      <c r="I25">
        <f>IFERROR(VLOOKUP(B25,Environments!$A$5:$I$50,9,FALSE),0)</f>
        <v/>
      </c>
      <c r="J25">
        <f>(D25*G25+F25*H25)*Global!$B$3</f>
        <v/>
      </c>
      <c r="K25">
        <f>IF(SUMIF(Measurement!$B:$B,B25,Measurement!$H:$H)=0,D25*I25,F25*I25)</f>
        <v/>
      </c>
      <c r="L25">
        <f>J25+K25</f>
        <v/>
      </c>
      <c r="M25">
        <f>IF(IFERROR(VLOOKUP(B25,Environments!$A$5:$I$50,3,FALSE),FALSE),L25*$B$2,0)</f>
        <v/>
      </c>
      <c r="N25">
        <f>L25+M25</f>
        <v/>
      </c>
      <c r="O25">
        <f>N25*12</f>
        <v/>
      </c>
    </row>
    <row r="26">
      <c r="A26">
        <f>Measurement!A24</f>
        <v/>
      </c>
      <c r="B26">
        <f>Measurement!B24</f>
        <v/>
      </c>
      <c r="C26">
        <f>Measurement!G24</f>
        <v/>
      </c>
      <c r="D26">
        <f>IF(SUMIF(Measurement!$B:$B,B26,Measurement!$G:$G)=0,0,C26/SUMIF(Measurement!$B:$B,B26,Measurement!$G:$G))</f>
        <v/>
      </c>
      <c r="E26">
        <f>Measurement!H24</f>
        <v/>
      </c>
      <c r="F26">
        <f>IF(SUMIF(Measurement!$B:$B,B26,Measurement!$H:$H)=0,0,E26/SUMIF(Measurement!$B:$B,B26,Measurement!$H:$H))</f>
        <v/>
      </c>
      <c r="G26">
        <f>IFERROR(VLOOKUP(B26,Environments!$A$5:$I$50,4,FALSE),0)</f>
        <v/>
      </c>
      <c r="H26">
        <f>IFERROR(VLOOKUP(B26,Environments!$A$5:$I$50,5,FALSE),0)</f>
        <v/>
      </c>
      <c r="I26">
        <f>IFERROR(VLOOKUP(B26,Environments!$A$5:$I$50,9,FALSE),0)</f>
        <v/>
      </c>
      <c r="J26">
        <f>(D26*G26+F26*H26)*Global!$B$3</f>
        <v/>
      </c>
      <c r="K26">
        <f>IF(SUMIF(Measurement!$B:$B,B26,Measurement!$H:$H)=0,D26*I26,F26*I26)</f>
        <v/>
      </c>
      <c r="L26">
        <f>J26+K26</f>
        <v/>
      </c>
      <c r="M26">
        <f>IF(IFERROR(VLOOKUP(B26,Environments!$A$5:$I$50,3,FALSE),FALSE),L26*$B$2,0)</f>
        <v/>
      </c>
      <c r="N26">
        <f>L26+M26</f>
        <v/>
      </c>
      <c r="O26">
        <f>N26*12</f>
        <v/>
      </c>
    </row>
    <row r="27">
      <c r="A27">
        <f>Measurement!A25</f>
        <v/>
      </c>
      <c r="B27">
        <f>Measurement!B25</f>
        <v/>
      </c>
      <c r="C27">
        <f>Measurement!G25</f>
        <v/>
      </c>
      <c r="D27">
        <f>IF(SUMIF(Measurement!$B:$B,B27,Measurement!$G:$G)=0,0,C27/SUMIF(Measurement!$B:$B,B27,Measurement!$G:$G))</f>
        <v/>
      </c>
      <c r="E27">
        <f>Measurement!H25</f>
        <v/>
      </c>
      <c r="F27">
        <f>IF(SUMIF(Measurement!$B:$B,B27,Measurement!$H:$H)=0,0,E27/SUMIF(Measurement!$B:$B,B27,Measurement!$H:$H))</f>
        <v/>
      </c>
      <c r="G27">
        <f>IFERROR(VLOOKUP(B27,Environments!$A$5:$I$50,4,FALSE),0)</f>
        <v/>
      </c>
      <c r="H27">
        <f>IFERROR(VLOOKUP(B27,Environments!$A$5:$I$50,5,FALSE),0)</f>
        <v/>
      </c>
      <c r="I27">
        <f>IFERROR(VLOOKUP(B27,Environments!$A$5:$I$50,9,FALSE),0)</f>
        <v/>
      </c>
      <c r="J27">
        <f>(D27*G27+F27*H27)*Global!$B$3</f>
        <v/>
      </c>
      <c r="K27">
        <f>IF(SUMIF(Measurement!$B:$B,B27,Measurement!$H:$H)=0,D27*I27,F27*I27)</f>
        <v/>
      </c>
      <c r="L27">
        <f>J27+K27</f>
        <v/>
      </c>
      <c r="M27">
        <f>IF(IFERROR(VLOOKUP(B27,Environments!$A$5:$I$50,3,FALSE),FALSE),L27*$B$2,0)</f>
        <v/>
      </c>
      <c r="N27">
        <f>L27+M27</f>
        <v/>
      </c>
      <c r="O27">
        <f>N27*12</f>
        <v/>
      </c>
    </row>
    <row r="28">
      <c r="A28">
        <f>Measurement!A26</f>
        <v/>
      </c>
      <c r="B28">
        <f>Measurement!B26</f>
        <v/>
      </c>
      <c r="C28">
        <f>Measurement!G26</f>
        <v/>
      </c>
      <c r="D28">
        <f>IF(SUMIF(Measurement!$B:$B,B28,Measurement!$G:$G)=0,0,C28/SUMIF(Measurement!$B:$B,B28,Measurement!$G:$G))</f>
        <v/>
      </c>
      <c r="E28">
        <f>Measurement!H26</f>
        <v/>
      </c>
      <c r="F28">
        <f>IF(SUMIF(Measurement!$B:$B,B28,Measurement!$H:$H)=0,0,E28/SUMIF(Measurement!$B:$B,B28,Measurement!$H:$H))</f>
        <v/>
      </c>
      <c r="G28">
        <f>IFERROR(VLOOKUP(B28,Environments!$A$5:$I$50,4,FALSE),0)</f>
        <v/>
      </c>
      <c r="H28">
        <f>IFERROR(VLOOKUP(B28,Environments!$A$5:$I$50,5,FALSE),0)</f>
        <v/>
      </c>
      <c r="I28">
        <f>IFERROR(VLOOKUP(B28,Environments!$A$5:$I$50,9,FALSE),0)</f>
        <v/>
      </c>
      <c r="J28">
        <f>(D28*G28+F28*H28)*Global!$B$3</f>
        <v/>
      </c>
      <c r="K28">
        <f>IF(SUMIF(Measurement!$B:$B,B28,Measurement!$H:$H)=0,D28*I28,F28*I28)</f>
        <v/>
      </c>
      <c r="L28">
        <f>J28+K28</f>
        <v/>
      </c>
      <c r="M28">
        <f>IF(IFERROR(VLOOKUP(B28,Environments!$A$5:$I$50,3,FALSE),FALSE),L28*$B$2,0)</f>
        <v/>
      </c>
      <c r="N28">
        <f>L28+M28</f>
        <v/>
      </c>
      <c r="O28">
        <f>N28*12</f>
        <v/>
      </c>
    </row>
    <row r="29">
      <c r="A29">
        <f>Measurement!A27</f>
        <v/>
      </c>
      <c r="B29">
        <f>Measurement!B27</f>
        <v/>
      </c>
      <c r="C29">
        <f>Measurement!G27</f>
        <v/>
      </c>
      <c r="D29">
        <f>IF(SUMIF(Measurement!$B:$B,B29,Measurement!$G:$G)=0,0,C29/SUMIF(Measurement!$B:$B,B29,Measurement!$G:$G))</f>
        <v/>
      </c>
      <c r="E29">
        <f>Measurement!H27</f>
        <v/>
      </c>
      <c r="F29">
        <f>IF(SUMIF(Measurement!$B:$B,B29,Measurement!$H:$H)=0,0,E29/SUMIF(Measurement!$B:$B,B29,Measurement!$H:$H))</f>
        <v/>
      </c>
      <c r="G29">
        <f>IFERROR(VLOOKUP(B29,Environments!$A$5:$I$50,4,FALSE),0)</f>
        <v/>
      </c>
      <c r="H29">
        <f>IFERROR(VLOOKUP(B29,Environments!$A$5:$I$50,5,FALSE),0)</f>
        <v/>
      </c>
      <c r="I29">
        <f>IFERROR(VLOOKUP(B29,Environments!$A$5:$I$50,9,FALSE),0)</f>
        <v/>
      </c>
      <c r="J29">
        <f>(D29*G29+F29*H29)*Global!$B$3</f>
        <v/>
      </c>
      <c r="K29">
        <f>IF(SUMIF(Measurement!$B:$B,B29,Measurement!$H:$H)=0,D29*I29,F29*I29)</f>
        <v/>
      </c>
      <c r="L29">
        <f>J29+K29</f>
        <v/>
      </c>
      <c r="M29">
        <f>IF(IFERROR(VLOOKUP(B29,Environments!$A$5:$I$50,3,FALSE),FALSE),L29*$B$2,0)</f>
        <v/>
      </c>
      <c r="N29">
        <f>L29+M29</f>
        <v/>
      </c>
      <c r="O29">
        <f>N29*12</f>
        <v/>
      </c>
    </row>
    <row r="30">
      <c r="A30">
        <f>Measurement!A28</f>
        <v/>
      </c>
      <c r="B30">
        <f>Measurement!B28</f>
        <v/>
      </c>
      <c r="C30">
        <f>Measurement!G28</f>
        <v/>
      </c>
      <c r="D30">
        <f>IF(SUMIF(Measurement!$B:$B,B30,Measurement!$G:$G)=0,0,C30/SUMIF(Measurement!$B:$B,B30,Measurement!$G:$G))</f>
        <v/>
      </c>
      <c r="E30">
        <f>Measurement!H28</f>
        <v/>
      </c>
      <c r="F30">
        <f>IF(SUMIF(Measurement!$B:$B,B30,Measurement!$H:$H)=0,0,E30/SUMIF(Measurement!$B:$B,B30,Measurement!$H:$H))</f>
        <v/>
      </c>
      <c r="G30">
        <f>IFERROR(VLOOKUP(B30,Environments!$A$5:$I$50,4,FALSE),0)</f>
        <v/>
      </c>
      <c r="H30">
        <f>IFERROR(VLOOKUP(B30,Environments!$A$5:$I$50,5,FALSE),0)</f>
        <v/>
      </c>
      <c r="I30">
        <f>IFERROR(VLOOKUP(B30,Environments!$A$5:$I$50,9,FALSE),0)</f>
        <v/>
      </c>
      <c r="J30">
        <f>(D30*G30+F30*H30)*Global!$B$3</f>
        <v/>
      </c>
      <c r="K30">
        <f>IF(SUMIF(Measurement!$B:$B,B30,Measurement!$H:$H)=0,D30*I30,F30*I30)</f>
        <v/>
      </c>
      <c r="L30">
        <f>J30+K30</f>
        <v/>
      </c>
      <c r="M30">
        <f>IF(IFERROR(VLOOKUP(B30,Environments!$A$5:$I$50,3,FALSE),FALSE),L30*$B$2,0)</f>
        <v/>
      </c>
      <c r="N30">
        <f>L30+M30</f>
        <v/>
      </c>
      <c r="O30">
        <f>N30*12</f>
        <v/>
      </c>
    </row>
    <row r="31">
      <c r="A31">
        <f>Measurement!A29</f>
        <v/>
      </c>
      <c r="B31">
        <f>Measurement!B29</f>
        <v/>
      </c>
      <c r="C31">
        <f>Measurement!G29</f>
        <v/>
      </c>
      <c r="D31">
        <f>IF(SUMIF(Measurement!$B:$B,B31,Measurement!$G:$G)=0,0,C31/SUMIF(Measurement!$B:$B,B31,Measurement!$G:$G))</f>
        <v/>
      </c>
      <c r="E31">
        <f>Measurement!H29</f>
        <v/>
      </c>
      <c r="F31">
        <f>IF(SUMIF(Measurement!$B:$B,B31,Measurement!$H:$H)=0,0,E31/SUMIF(Measurement!$B:$B,B31,Measurement!$H:$H))</f>
        <v/>
      </c>
      <c r="G31">
        <f>IFERROR(VLOOKUP(B31,Environments!$A$5:$I$50,4,FALSE),0)</f>
        <v/>
      </c>
      <c r="H31">
        <f>IFERROR(VLOOKUP(B31,Environments!$A$5:$I$50,5,FALSE),0)</f>
        <v/>
      </c>
      <c r="I31">
        <f>IFERROR(VLOOKUP(B31,Environments!$A$5:$I$50,9,FALSE),0)</f>
        <v/>
      </c>
      <c r="J31">
        <f>(D31*G31+F31*H31)*Global!$B$3</f>
        <v/>
      </c>
      <c r="K31">
        <f>IF(SUMIF(Measurement!$B:$B,B31,Measurement!$H:$H)=0,D31*I31,F31*I31)</f>
        <v/>
      </c>
      <c r="L31">
        <f>J31+K31</f>
        <v/>
      </c>
      <c r="M31">
        <f>IF(IFERROR(VLOOKUP(B31,Environments!$A$5:$I$50,3,FALSE),FALSE),L31*$B$2,0)</f>
        <v/>
      </c>
      <c r="N31">
        <f>L31+M31</f>
        <v/>
      </c>
      <c r="O31">
        <f>N31*12</f>
        <v/>
      </c>
    </row>
    <row r="32">
      <c r="A32">
        <f>Measurement!A30</f>
        <v/>
      </c>
      <c r="B32">
        <f>Measurement!B30</f>
        <v/>
      </c>
      <c r="C32">
        <f>Measurement!G30</f>
        <v/>
      </c>
      <c r="D32">
        <f>IF(SUMIF(Measurement!$B:$B,B32,Measurement!$G:$G)=0,0,C32/SUMIF(Measurement!$B:$B,B32,Measurement!$G:$G))</f>
        <v/>
      </c>
      <c r="E32">
        <f>Measurement!H30</f>
        <v/>
      </c>
      <c r="F32">
        <f>IF(SUMIF(Measurement!$B:$B,B32,Measurement!$H:$H)=0,0,E32/SUMIF(Measurement!$B:$B,B32,Measurement!$H:$H))</f>
        <v/>
      </c>
      <c r="G32">
        <f>IFERROR(VLOOKUP(B32,Environments!$A$5:$I$50,4,FALSE),0)</f>
        <v/>
      </c>
      <c r="H32">
        <f>IFERROR(VLOOKUP(B32,Environments!$A$5:$I$50,5,FALSE),0)</f>
        <v/>
      </c>
      <c r="I32">
        <f>IFERROR(VLOOKUP(B32,Environments!$A$5:$I$50,9,FALSE),0)</f>
        <v/>
      </c>
      <c r="J32">
        <f>(D32*G32+F32*H32)*Global!$B$3</f>
        <v/>
      </c>
      <c r="K32">
        <f>IF(SUMIF(Measurement!$B:$B,B32,Measurement!$H:$H)=0,D32*I32,F32*I32)</f>
        <v/>
      </c>
      <c r="L32">
        <f>J32+K32</f>
        <v/>
      </c>
      <c r="M32">
        <f>IF(IFERROR(VLOOKUP(B32,Environments!$A$5:$I$50,3,FALSE),FALSE),L32*$B$2,0)</f>
        <v/>
      </c>
      <c r="N32">
        <f>L32+M32</f>
        <v/>
      </c>
      <c r="O32">
        <f>N32*12</f>
        <v/>
      </c>
    </row>
    <row r="33">
      <c r="A33">
        <f>Measurement!A31</f>
        <v/>
      </c>
      <c r="B33">
        <f>Measurement!B31</f>
        <v/>
      </c>
      <c r="C33">
        <f>Measurement!G31</f>
        <v/>
      </c>
      <c r="D33">
        <f>IF(SUMIF(Measurement!$B:$B,B33,Measurement!$G:$G)=0,0,C33/SUMIF(Measurement!$B:$B,B33,Measurement!$G:$G))</f>
        <v/>
      </c>
      <c r="E33">
        <f>Measurement!H31</f>
        <v/>
      </c>
      <c r="F33">
        <f>IF(SUMIF(Measurement!$B:$B,B33,Measurement!$H:$H)=0,0,E33/SUMIF(Measurement!$B:$B,B33,Measurement!$H:$H))</f>
        <v/>
      </c>
      <c r="G33">
        <f>IFERROR(VLOOKUP(B33,Environments!$A$5:$I$50,4,FALSE),0)</f>
        <v/>
      </c>
      <c r="H33">
        <f>IFERROR(VLOOKUP(B33,Environments!$A$5:$I$50,5,FALSE),0)</f>
        <v/>
      </c>
      <c r="I33">
        <f>IFERROR(VLOOKUP(B33,Environments!$A$5:$I$50,9,FALSE),0)</f>
        <v/>
      </c>
      <c r="J33">
        <f>(D33*G33+F33*H33)*Global!$B$3</f>
        <v/>
      </c>
      <c r="K33">
        <f>IF(SUMIF(Measurement!$B:$B,B33,Measurement!$H:$H)=0,D33*I33,F33*I33)</f>
        <v/>
      </c>
      <c r="L33">
        <f>J33+K33</f>
        <v/>
      </c>
      <c r="M33">
        <f>IF(IFERROR(VLOOKUP(B33,Environments!$A$5:$I$50,3,FALSE),FALSE),L33*$B$2,0)</f>
        <v/>
      </c>
      <c r="N33">
        <f>L33+M33</f>
        <v/>
      </c>
      <c r="O33">
        <f>N33*12</f>
        <v/>
      </c>
    </row>
    <row r="34">
      <c r="A34">
        <f>Measurement!A32</f>
        <v/>
      </c>
      <c r="B34">
        <f>Measurement!B32</f>
        <v/>
      </c>
      <c r="C34">
        <f>Measurement!G32</f>
        <v/>
      </c>
      <c r="D34">
        <f>IF(SUMIF(Measurement!$B:$B,B34,Measurement!$G:$G)=0,0,C34/SUMIF(Measurement!$B:$B,B34,Measurement!$G:$G))</f>
        <v/>
      </c>
      <c r="E34">
        <f>Measurement!H32</f>
        <v/>
      </c>
      <c r="F34">
        <f>IF(SUMIF(Measurement!$B:$B,B34,Measurement!$H:$H)=0,0,E34/SUMIF(Measurement!$B:$B,B34,Measurement!$H:$H))</f>
        <v/>
      </c>
      <c r="G34">
        <f>IFERROR(VLOOKUP(B34,Environments!$A$5:$I$50,4,FALSE),0)</f>
        <v/>
      </c>
      <c r="H34">
        <f>IFERROR(VLOOKUP(B34,Environments!$A$5:$I$50,5,FALSE),0)</f>
        <v/>
      </c>
      <c r="I34">
        <f>IFERROR(VLOOKUP(B34,Environments!$A$5:$I$50,9,FALSE),0)</f>
        <v/>
      </c>
      <c r="J34">
        <f>(D34*G34+F34*H34)*Global!$B$3</f>
        <v/>
      </c>
      <c r="K34">
        <f>IF(SUMIF(Measurement!$B:$B,B34,Measurement!$H:$H)=0,D34*I34,F34*I34)</f>
        <v/>
      </c>
      <c r="L34">
        <f>J34+K34</f>
        <v/>
      </c>
      <c r="M34">
        <f>IF(IFERROR(VLOOKUP(B34,Environments!$A$5:$I$50,3,FALSE),FALSE),L34*$B$2,0)</f>
        <v/>
      </c>
      <c r="N34">
        <f>L34+M34</f>
        <v/>
      </c>
      <c r="O34">
        <f>N34*12</f>
        <v/>
      </c>
    </row>
    <row r="35">
      <c r="A35">
        <f>Measurement!A33</f>
        <v/>
      </c>
      <c r="B35">
        <f>Measurement!B33</f>
        <v/>
      </c>
      <c r="C35">
        <f>Measurement!G33</f>
        <v/>
      </c>
      <c r="D35">
        <f>IF(SUMIF(Measurement!$B:$B,B35,Measurement!$G:$G)=0,0,C35/SUMIF(Measurement!$B:$B,B35,Measurement!$G:$G))</f>
        <v/>
      </c>
      <c r="E35">
        <f>Measurement!H33</f>
        <v/>
      </c>
      <c r="F35">
        <f>IF(SUMIF(Measurement!$B:$B,B35,Measurement!$H:$H)=0,0,E35/SUMIF(Measurement!$B:$B,B35,Measurement!$H:$H))</f>
        <v/>
      </c>
      <c r="G35">
        <f>IFERROR(VLOOKUP(B35,Environments!$A$5:$I$50,4,FALSE),0)</f>
        <v/>
      </c>
      <c r="H35">
        <f>IFERROR(VLOOKUP(B35,Environments!$A$5:$I$50,5,FALSE),0)</f>
        <v/>
      </c>
      <c r="I35">
        <f>IFERROR(VLOOKUP(B35,Environments!$A$5:$I$50,9,FALSE),0)</f>
        <v/>
      </c>
      <c r="J35">
        <f>(D35*G35+F35*H35)*Global!$B$3</f>
        <v/>
      </c>
      <c r="K35">
        <f>IF(SUMIF(Measurement!$B:$B,B35,Measurement!$H:$H)=0,D35*I35,F35*I35)</f>
        <v/>
      </c>
      <c r="L35">
        <f>J35+K35</f>
        <v/>
      </c>
      <c r="M35">
        <f>IF(IFERROR(VLOOKUP(B35,Environments!$A$5:$I$50,3,FALSE),FALSE),L35*$B$2,0)</f>
        <v/>
      </c>
      <c r="N35">
        <f>L35+M35</f>
        <v/>
      </c>
      <c r="O35">
        <f>N35*12</f>
        <v/>
      </c>
    </row>
    <row r="36">
      <c r="A36">
        <f>Measurement!A34</f>
        <v/>
      </c>
      <c r="B36">
        <f>Measurement!B34</f>
        <v/>
      </c>
      <c r="C36">
        <f>Measurement!G34</f>
        <v/>
      </c>
      <c r="D36">
        <f>IF(SUMIF(Measurement!$B:$B,B36,Measurement!$G:$G)=0,0,C36/SUMIF(Measurement!$B:$B,B36,Measurement!$G:$G))</f>
        <v/>
      </c>
      <c r="E36">
        <f>Measurement!H34</f>
        <v/>
      </c>
      <c r="F36">
        <f>IF(SUMIF(Measurement!$B:$B,B36,Measurement!$H:$H)=0,0,E36/SUMIF(Measurement!$B:$B,B36,Measurement!$H:$H))</f>
        <v/>
      </c>
      <c r="G36">
        <f>IFERROR(VLOOKUP(B36,Environments!$A$5:$I$50,4,FALSE),0)</f>
        <v/>
      </c>
      <c r="H36">
        <f>IFERROR(VLOOKUP(B36,Environments!$A$5:$I$50,5,FALSE),0)</f>
        <v/>
      </c>
      <c r="I36">
        <f>IFERROR(VLOOKUP(B36,Environments!$A$5:$I$50,9,FALSE),0)</f>
        <v/>
      </c>
      <c r="J36">
        <f>(D36*G36+F36*H36)*Global!$B$3</f>
        <v/>
      </c>
      <c r="K36">
        <f>IF(SUMIF(Measurement!$B:$B,B36,Measurement!$H:$H)=0,D36*I36,F36*I36)</f>
        <v/>
      </c>
      <c r="L36">
        <f>J36+K36</f>
        <v/>
      </c>
      <c r="M36">
        <f>IF(IFERROR(VLOOKUP(B36,Environments!$A$5:$I$50,3,FALSE),FALSE),L36*$B$2,0)</f>
        <v/>
      </c>
      <c r="N36">
        <f>L36+M36</f>
        <v/>
      </c>
      <c r="O36">
        <f>N36*12</f>
        <v/>
      </c>
    </row>
    <row r="37">
      <c r="A37">
        <f>Measurement!A35</f>
        <v/>
      </c>
      <c r="B37">
        <f>Measurement!B35</f>
        <v/>
      </c>
      <c r="C37">
        <f>Measurement!G35</f>
        <v/>
      </c>
      <c r="D37">
        <f>IF(SUMIF(Measurement!$B:$B,B37,Measurement!$G:$G)=0,0,C37/SUMIF(Measurement!$B:$B,B37,Measurement!$G:$G))</f>
        <v/>
      </c>
      <c r="E37">
        <f>Measurement!H35</f>
        <v/>
      </c>
      <c r="F37">
        <f>IF(SUMIF(Measurement!$B:$B,B37,Measurement!$H:$H)=0,0,E37/SUMIF(Measurement!$B:$B,B37,Measurement!$H:$H))</f>
        <v/>
      </c>
      <c r="G37">
        <f>IFERROR(VLOOKUP(B37,Environments!$A$5:$I$50,4,FALSE),0)</f>
        <v/>
      </c>
      <c r="H37">
        <f>IFERROR(VLOOKUP(B37,Environments!$A$5:$I$50,5,FALSE),0)</f>
        <v/>
      </c>
      <c r="I37">
        <f>IFERROR(VLOOKUP(B37,Environments!$A$5:$I$50,9,FALSE),0)</f>
        <v/>
      </c>
      <c r="J37">
        <f>(D37*G37+F37*H37)*Global!$B$3</f>
        <v/>
      </c>
      <c r="K37">
        <f>IF(SUMIF(Measurement!$B:$B,B37,Measurement!$H:$H)=0,D37*I37,F37*I37)</f>
        <v/>
      </c>
      <c r="L37">
        <f>J37+K37</f>
        <v/>
      </c>
      <c r="M37">
        <f>IF(IFERROR(VLOOKUP(B37,Environments!$A$5:$I$50,3,FALSE),FALSE),L37*$B$2,0)</f>
        <v/>
      </c>
      <c r="N37">
        <f>L37+M37</f>
        <v/>
      </c>
      <c r="O37">
        <f>N37*12</f>
        <v/>
      </c>
    </row>
    <row r="38">
      <c r="A38">
        <f>Measurement!A36</f>
        <v/>
      </c>
      <c r="B38">
        <f>Measurement!B36</f>
        <v/>
      </c>
      <c r="C38">
        <f>Measurement!G36</f>
        <v/>
      </c>
      <c r="D38">
        <f>IF(SUMIF(Measurement!$B:$B,B38,Measurement!$G:$G)=0,0,C38/SUMIF(Measurement!$B:$B,B38,Measurement!$G:$G))</f>
        <v/>
      </c>
      <c r="E38">
        <f>Measurement!H36</f>
        <v/>
      </c>
      <c r="F38">
        <f>IF(SUMIF(Measurement!$B:$B,B38,Measurement!$H:$H)=0,0,E38/SUMIF(Measurement!$B:$B,B38,Measurement!$H:$H))</f>
        <v/>
      </c>
      <c r="G38">
        <f>IFERROR(VLOOKUP(B38,Environments!$A$5:$I$50,4,FALSE),0)</f>
        <v/>
      </c>
      <c r="H38">
        <f>IFERROR(VLOOKUP(B38,Environments!$A$5:$I$50,5,FALSE),0)</f>
        <v/>
      </c>
      <c r="I38">
        <f>IFERROR(VLOOKUP(B38,Environments!$A$5:$I$50,9,FALSE),0)</f>
        <v/>
      </c>
      <c r="J38">
        <f>(D38*G38+F38*H38)*Global!$B$3</f>
        <v/>
      </c>
      <c r="K38">
        <f>IF(SUMIF(Measurement!$B:$B,B38,Measurement!$H:$H)=0,D38*I38,F38*I38)</f>
        <v/>
      </c>
      <c r="L38">
        <f>J38+K38</f>
        <v/>
      </c>
      <c r="M38">
        <f>IF(IFERROR(VLOOKUP(B38,Environments!$A$5:$I$50,3,FALSE),FALSE),L38*$B$2,0)</f>
        <v/>
      </c>
      <c r="N38">
        <f>L38+M38</f>
        <v/>
      </c>
      <c r="O38">
        <f>N38*12</f>
        <v/>
      </c>
    </row>
    <row r="39">
      <c r="A39">
        <f>Measurement!A37</f>
        <v/>
      </c>
      <c r="B39">
        <f>Measurement!B37</f>
        <v/>
      </c>
      <c r="C39">
        <f>Measurement!G37</f>
        <v/>
      </c>
      <c r="D39">
        <f>IF(SUMIF(Measurement!$B:$B,B39,Measurement!$G:$G)=0,0,C39/SUMIF(Measurement!$B:$B,B39,Measurement!$G:$G))</f>
        <v/>
      </c>
      <c r="E39">
        <f>Measurement!H37</f>
        <v/>
      </c>
      <c r="F39">
        <f>IF(SUMIF(Measurement!$B:$B,B39,Measurement!$H:$H)=0,0,E39/SUMIF(Measurement!$B:$B,B39,Measurement!$H:$H))</f>
        <v/>
      </c>
      <c r="G39">
        <f>IFERROR(VLOOKUP(B39,Environments!$A$5:$I$50,4,FALSE),0)</f>
        <v/>
      </c>
      <c r="H39">
        <f>IFERROR(VLOOKUP(B39,Environments!$A$5:$I$50,5,FALSE),0)</f>
        <v/>
      </c>
      <c r="I39">
        <f>IFERROR(VLOOKUP(B39,Environments!$A$5:$I$50,9,FALSE),0)</f>
        <v/>
      </c>
      <c r="J39">
        <f>(D39*G39+F39*H39)*Global!$B$3</f>
        <v/>
      </c>
      <c r="K39">
        <f>IF(SUMIF(Measurement!$B:$B,B39,Measurement!$H:$H)=0,D39*I39,F39*I39)</f>
        <v/>
      </c>
      <c r="L39">
        <f>J39+K39</f>
        <v/>
      </c>
      <c r="M39">
        <f>IF(IFERROR(VLOOKUP(B39,Environments!$A$5:$I$50,3,FALSE),FALSE),L39*$B$2,0)</f>
        <v/>
      </c>
      <c r="N39">
        <f>L39+M39</f>
        <v/>
      </c>
      <c r="O39">
        <f>N39*12</f>
        <v/>
      </c>
    </row>
    <row r="40">
      <c r="A40">
        <f>Measurement!A38</f>
        <v/>
      </c>
      <c r="B40">
        <f>Measurement!B38</f>
        <v/>
      </c>
      <c r="C40">
        <f>Measurement!G38</f>
        <v/>
      </c>
      <c r="D40">
        <f>IF(SUMIF(Measurement!$B:$B,B40,Measurement!$G:$G)=0,0,C40/SUMIF(Measurement!$B:$B,B40,Measurement!$G:$G))</f>
        <v/>
      </c>
      <c r="E40">
        <f>Measurement!H38</f>
        <v/>
      </c>
      <c r="F40">
        <f>IF(SUMIF(Measurement!$B:$B,B40,Measurement!$H:$H)=0,0,E40/SUMIF(Measurement!$B:$B,B40,Measurement!$H:$H))</f>
        <v/>
      </c>
      <c r="G40">
        <f>IFERROR(VLOOKUP(B40,Environments!$A$5:$I$50,4,FALSE),0)</f>
        <v/>
      </c>
      <c r="H40">
        <f>IFERROR(VLOOKUP(B40,Environments!$A$5:$I$50,5,FALSE),0)</f>
        <v/>
      </c>
      <c r="I40">
        <f>IFERROR(VLOOKUP(B40,Environments!$A$5:$I$50,9,FALSE),0)</f>
        <v/>
      </c>
      <c r="J40">
        <f>(D40*G40+F40*H40)*Global!$B$3</f>
        <v/>
      </c>
      <c r="K40">
        <f>IF(SUMIF(Measurement!$B:$B,B40,Measurement!$H:$H)=0,D40*I40,F40*I40)</f>
        <v/>
      </c>
      <c r="L40">
        <f>J40+K40</f>
        <v/>
      </c>
      <c r="M40">
        <f>IF(IFERROR(VLOOKUP(B40,Environments!$A$5:$I$50,3,FALSE),FALSE),L40*$B$2,0)</f>
        <v/>
      </c>
      <c r="N40">
        <f>L40+M40</f>
        <v/>
      </c>
      <c r="O40">
        <f>N40*12</f>
        <v/>
      </c>
    </row>
    <row r="41">
      <c r="A41">
        <f>Measurement!A39</f>
        <v/>
      </c>
      <c r="B41">
        <f>Measurement!B39</f>
        <v/>
      </c>
      <c r="C41">
        <f>Measurement!G39</f>
        <v/>
      </c>
      <c r="D41">
        <f>IF(SUMIF(Measurement!$B:$B,B41,Measurement!$G:$G)=0,0,C41/SUMIF(Measurement!$B:$B,B41,Measurement!$G:$G))</f>
        <v/>
      </c>
      <c r="E41">
        <f>Measurement!H39</f>
        <v/>
      </c>
      <c r="F41">
        <f>IF(SUMIF(Measurement!$B:$B,B41,Measurement!$H:$H)=0,0,E41/SUMIF(Measurement!$B:$B,B41,Measurement!$H:$H))</f>
        <v/>
      </c>
      <c r="G41">
        <f>IFERROR(VLOOKUP(B41,Environments!$A$5:$I$50,4,FALSE),0)</f>
        <v/>
      </c>
      <c r="H41">
        <f>IFERROR(VLOOKUP(B41,Environments!$A$5:$I$50,5,FALSE),0)</f>
        <v/>
      </c>
      <c r="I41">
        <f>IFERROR(VLOOKUP(B41,Environments!$A$5:$I$50,9,FALSE),0)</f>
        <v/>
      </c>
      <c r="J41">
        <f>(D41*G41+F41*H41)*Global!$B$3</f>
        <v/>
      </c>
      <c r="K41">
        <f>IF(SUMIF(Measurement!$B:$B,B41,Measurement!$H:$H)=0,D41*I41,F41*I41)</f>
        <v/>
      </c>
      <c r="L41">
        <f>J41+K41</f>
        <v/>
      </c>
      <c r="M41">
        <f>IF(IFERROR(VLOOKUP(B41,Environments!$A$5:$I$50,3,FALSE),FALSE),L41*$B$2,0)</f>
        <v/>
      </c>
      <c r="N41">
        <f>L41+M41</f>
        <v/>
      </c>
      <c r="O41">
        <f>N41*12</f>
        <v/>
      </c>
    </row>
    <row r="42">
      <c r="A42">
        <f>Measurement!A40</f>
        <v/>
      </c>
      <c r="B42">
        <f>Measurement!B40</f>
        <v/>
      </c>
      <c r="C42">
        <f>Measurement!G40</f>
        <v/>
      </c>
      <c r="D42">
        <f>IF(SUMIF(Measurement!$B:$B,B42,Measurement!$G:$G)=0,0,C42/SUMIF(Measurement!$B:$B,B42,Measurement!$G:$G))</f>
        <v/>
      </c>
      <c r="E42">
        <f>Measurement!H40</f>
        <v/>
      </c>
      <c r="F42">
        <f>IF(SUMIF(Measurement!$B:$B,B42,Measurement!$H:$H)=0,0,E42/SUMIF(Measurement!$B:$B,B42,Measurement!$H:$H))</f>
        <v/>
      </c>
      <c r="G42">
        <f>IFERROR(VLOOKUP(B42,Environments!$A$5:$I$50,4,FALSE),0)</f>
        <v/>
      </c>
      <c r="H42">
        <f>IFERROR(VLOOKUP(B42,Environments!$A$5:$I$50,5,FALSE),0)</f>
        <v/>
      </c>
      <c r="I42">
        <f>IFERROR(VLOOKUP(B42,Environments!$A$5:$I$50,9,FALSE),0)</f>
        <v/>
      </c>
      <c r="J42">
        <f>(D42*G42+F42*H42)*Global!$B$3</f>
        <v/>
      </c>
      <c r="K42">
        <f>IF(SUMIF(Measurement!$B:$B,B42,Measurement!$H:$H)=0,D42*I42,F42*I42)</f>
        <v/>
      </c>
      <c r="L42">
        <f>J42+K42</f>
        <v/>
      </c>
      <c r="M42">
        <f>IF(IFERROR(VLOOKUP(B42,Environments!$A$5:$I$50,3,FALSE),FALSE),L42*$B$2,0)</f>
        <v/>
      </c>
      <c r="N42">
        <f>L42+M42</f>
        <v/>
      </c>
      <c r="O42">
        <f>N42*12</f>
        <v/>
      </c>
    </row>
    <row r="43">
      <c r="A43">
        <f>Measurement!A41</f>
        <v/>
      </c>
      <c r="B43">
        <f>Measurement!B41</f>
        <v/>
      </c>
      <c r="C43">
        <f>Measurement!G41</f>
        <v/>
      </c>
      <c r="D43">
        <f>IF(SUMIF(Measurement!$B:$B,B43,Measurement!$G:$G)=0,0,C43/SUMIF(Measurement!$B:$B,B43,Measurement!$G:$G))</f>
        <v/>
      </c>
      <c r="E43">
        <f>Measurement!H41</f>
        <v/>
      </c>
      <c r="F43">
        <f>IF(SUMIF(Measurement!$B:$B,B43,Measurement!$H:$H)=0,0,E43/SUMIF(Measurement!$B:$B,B43,Measurement!$H:$H))</f>
        <v/>
      </c>
      <c r="G43">
        <f>IFERROR(VLOOKUP(B43,Environments!$A$5:$I$50,4,FALSE),0)</f>
        <v/>
      </c>
      <c r="H43">
        <f>IFERROR(VLOOKUP(B43,Environments!$A$5:$I$50,5,FALSE),0)</f>
        <v/>
      </c>
      <c r="I43">
        <f>IFERROR(VLOOKUP(B43,Environments!$A$5:$I$50,9,FALSE),0)</f>
        <v/>
      </c>
      <c r="J43">
        <f>(D43*G43+F43*H43)*Global!$B$3</f>
        <v/>
      </c>
      <c r="K43">
        <f>IF(SUMIF(Measurement!$B:$B,B43,Measurement!$H:$H)=0,D43*I43,F43*I43)</f>
        <v/>
      </c>
      <c r="L43">
        <f>J43+K43</f>
        <v/>
      </c>
      <c r="M43">
        <f>IF(IFERROR(VLOOKUP(B43,Environments!$A$5:$I$50,3,FALSE),FALSE),L43*$B$2,0)</f>
        <v/>
      </c>
      <c r="N43">
        <f>L43+M43</f>
        <v/>
      </c>
      <c r="O43">
        <f>N43*12</f>
        <v/>
      </c>
    </row>
    <row r="44">
      <c r="A44">
        <f>Measurement!A42</f>
        <v/>
      </c>
      <c r="B44">
        <f>Measurement!B42</f>
        <v/>
      </c>
      <c r="C44">
        <f>Measurement!G42</f>
        <v/>
      </c>
      <c r="D44">
        <f>IF(SUMIF(Measurement!$B:$B,B44,Measurement!$G:$G)=0,0,C44/SUMIF(Measurement!$B:$B,B44,Measurement!$G:$G))</f>
        <v/>
      </c>
      <c r="E44">
        <f>Measurement!H42</f>
        <v/>
      </c>
      <c r="F44">
        <f>IF(SUMIF(Measurement!$B:$B,B44,Measurement!$H:$H)=0,0,E44/SUMIF(Measurement!$B:$B,B44,Measurement!$H:$H))</f>
        <v/>
      </c>
      <c r="G44">
        <f>IFERROR(VLOOKUP(B44,Environments!$A$5:$I$50,4,FALSE),0)</f>
        <v/>
      </c>
      <c r="H44">
        <f>IFERROR(VLOOKUP(B44,Environments!$A$5:$I$50,5,FALSE),0)</f>
        <v/>
      </c>
      <c r="I44">
        <f>IFERROR(VLOOKUP(B44,Environments!$A$5:$I$50,9,FALSE),0)</f>
        <v/>
      </c>
      <c r="J44">
        <f>(D44*G44+F44*H44)*Global!$B$3</f>
        <v/>
      </c>
      <c r="K44">
        <f>IF(SUMIF(Measurement!$B:$B,B44,Measurement!$H:$H)=0,D44*I44,F44*I44)</f>
        <v/>
      </c>
      <c r="L44">
        <f>J44+K44</f>
        <v/>
      </c>
      <c r="M44">
        <f>IF(IFERROR(VLOOKUP(B44,Environments!$A$5:$I$50,3,FALSE),FALSE),L44*$B$2,0)</f>
        <v/>
      </c>
      <c r="N44">
        <f>L44+M44</f>
        <v/>
      </c>
      <c r="O44">
        <f>N44*12</f>
        <v/>
      </c>
    </row>
    <row r="45">
      <c r="A45">
        <f>Measurement!A43</f>
        <v/>
      </c>
      <c r="B45">
        <f>Measurement!B43</f>
        <v/>
      </c>
      <c r="C45">
        <f>Measurement!G43</f>
        <v/>
      </c>
      <c r="D45">
        <f>IF(SUMIF(Measurement!$B:$B,B45,Measurement!$G:$G)=0,0,C45/SUMIF(Measurement!$B:$B,B45,Measurement!$G:$G))</f>
        <v/>
      </c>
      <c r="E45">
        <f>Measurement!H43</f>
        <v/>
      </c>
      <c r="F45">
        <f>IF(SUMIF(Measurement!$B:$B,B45,Measurement!$H:$H)=0,0,E45/SUMIF(Measurement!$B:$B,B45,Measurement!$H:$H))</f>
        <v/>
      </c>
      <c r="G45">
        <f>IFERROR(VLOOKUP(B45,Environments!$A$5:$I$50,4,FALSE),0)</f>
        <v/>
      </c>
      <c r="H45">
        <f>IFERROR(VLOOKUP(B45,Environments!$A$5:$I$50,5,FALSE),0)</f>
        <v/>
      </c>
      <c r="I45">
        <f>IFERROR(VLOOKUP(B45,Environments!$A$5:$I$50,9,FALSE),0)</f>
        <v/>
      </c>
      <c r="J45">
        <f>(D45*G45+F45*H45)*Global!$B$3</f>
        <v/>
      </c>
      <c r="K45">
        <f>IF(SUMIF(Measurement!$B:$B,B45,Measurement!$H:$H)=0,D45*I45,F45*I45)</f>
        <v/>
      </c>
      <c r="L45">
        <f>J45+K45</f>
        <v/>
      </c>
      <c r="M45">
        <f>IF(IFERROR(VLOOKUP(B45,Environments!$A$5:$I$50,3,FALSE),FALSE),L45*$B$2,0)</f>
        <v/>
      </c>
      <c r="N45">
        <f>L45+M45</f>
        <v/>
      </c>
      <c r="O45">
        <f>N45*12</f>
        <v/>
      </c>
    </row>
    <row r="46">
      <c r="A46">
        <f>Measurement!A44</f>
        <v/>
      </c>
      <c r="B46">
        <f>Measurement!B44</f>
        <v/>
      </c>
      <c r="C46">
        <f>Measurement!G44</f>
        <v/>
      </c>
      <c r="D46">
        <f>IF(SUMIF(Measurement!$B:$B,B46,Measurement!$G:$G)=0,0,C46/SUMIF(Measurement!$B:$B,B46,Measurement!$G:$G))</f>
        <v/>
      </c>
      <c r="E46">
        <f>Measurement!H44</f>
        <v/>
      </c>
      <c r="F46">
        <f>IF(SUMIF(Measurement!$B:$B,B46,Measurement!$H:$H)=0,0,E46/SUMIF(Measurement!$B:$B,B46,Measurement!$H:$H))</f>
        <v/>
      </c>
      <c r="G46">
        <f>IFERROR(VLOOKUP(B46,Environments!$A$5:$I$50,4,FALSE),0)</f>
        <v/>
      </c>
      <c r="H46">
        <f>IFERROR(VLOOKUP(B46,Environments!$A$5:$I$50,5,FALSE),0)</f>
        <v/>
      </c>
      <c r="I46">
        <f>IFERROR(VLOOKUP(B46,Environments!$A$5:$I$50,9,FALSE),0)</f>
        <v/>
      </c>
      <c r="J46">
        <f>(D46*G46+F46*H46)*Global!$B$3</f>
        <v/>
      </c>
      <c r="K46">
        <f>IF(SUMIF(Measurement!$B:$B,B46,Measurement!$H:$H)=0,D46*I46,F46*I46)</f>
        <v/>
      </c>
      <c r="L46">
        <f>J46+K46</f>
        <v/>
      </c>
      <c r="M46">
        <f>IF(IFERROR(VLOOKUP(B46,Environments!$A$5:$I$50,3,FALSE),FALSE),L46*$B$2,0)</f>
        <v/>
      </c>
      <c r="N46">
        <f>L46+M46</f>
        <v/>
      </c>
      <c r="O46">
        <f>N46*12</f>
        <v/>
      </c>
    </row>
    <row r="47">
      <c r="A47">
        <f>Measurement!A45</f>
        <v/>
      </c>
      <c r="B47">
        <f>Measurement!B45</f>
        <v/>
      </c>
      <c r="C47">
        <f>Measurement!G45</f>
        <v/>
      </c>
      <c r="D47">
        <f>IF(SUMIF(Measurement!$B:$B,B47,Measurement!$G:$G)=0,0,C47/SUMIF(Measurement!$B:$B,B47,Measurement!$G:$G))</f>
        <v/>
      </c>
      <c r="E47">
        <f>Measurement!H45</f>
        <v/>
      </c>
      <c r="F47">
        <f>IF(SUMIF(Measurement!$B:$B,B47,Measurement!$H:$H)=0,0,E47/SUMIF(Measurement!$B:$B,B47,Measurement!$H:$H))</f>
        <v/>
      </c>
      <c r="G47">
        <f>IFERROR(VLOOKUP(B47,Environments!$A$5:$I$50,4,FALSE),0)</f>
        <v/>
      </c>
      <c r="H47">
        <f>IFERROR(VLOOKUP(B47,Environments!$A$5:$I$50,5,FALSE),0)</f>
        <v/>
      </c>
      <c r="I47">
        <f>IFERROR(VLOOKUP(B47,Environments!$A$5:$I$50,9,FALSE),0)</f>
        <v/>
      </c>
      <c r="J47">
        <f>(D47*G47+F47*H47)*Global!$B$3</f>
        <v/>
      </c>
      <c r="K47">
        <f>IF(SUMIF(Measurement!$B:$B,B47,Measurement!$H:$H)=0,D47*I47,F47*I47)</f>
        <v/>
      </c>
      <c r="L47">
        <f>J47+K47</f>
        <v/>
      </c>
      <c r="M47">
        <f>IF(IFERROR(VLOOKUP(B47,Environments!$A$5:$I$50,3,FALSE),FALSE),L47*$B$2,0)</f>
        <v/>
      </c>
      <c r="N47">
        <f>L47+M47</f>
        <v/>
      </c>
      <c r="O47">
        <f>N47*12</f>
        <v/>
      </c>
    </row>
    <row r="48">
      <c r="A48">
        <f>Measurement!A46</f>
        <v/>
      </c>
      <c r="B48">
        <f>Measurement!B46</f>
        <v/>
      </c>
      <c r="C48">
        <f>Measurement!G46</f>
        <v/>
      </c>
      <c r="D48">
        <f>IF(SUMIF(Measurement!$B:$B,B48,Measurement!$G:$G)=0,0,C48/SUMIF(Measurement!$B:$B,B48,Measurement!$G:$G))</f>
        <v/>
      </c>
      <c r="E48">
        <f>Measurement!H46</f>
        <v/>
      </c>
      <c r="F48">
        <f>IF(SUMIF(Measurement!$B:$B,B48,Measurement!$H:$H)=0,0,E48/SUMIF(Measurement!$B:$B,B48,Measurement!$H:$H))</f>
        <v/>
      </c>
      <c r="G48">
        <f>IFERROR(VLOOKUP(B48,Environments!$A$5:$I$50,4,FALSE),0)</f>
        <v/>
      </c>
      <c r="H48">
        <f>IFERROR(VLOOKUP(B48,Environments!$A$5:$I$50,5,FALSE),0)</f>
        <v/>
      </c>
      <c r="I48">
        <f>IFERROR(VLOOKUP(B48,Environments!$A$5:$I$50,9,FALSE),0)</f>
        <v/>
      </c>
      <c r="J48">
        <f>(D48*G48+F48*H48)*Global!$B$3</f>
        <v/>
      </c>
      <c r="K48">
        <f>IF(SUMIF(Measurement!$B:$B,B48,Measurement!$H:$H)=0,D48*I48,F48*I48)</f>
        <v/>
      </c>
      <c r="L48">
        <f>J48+K48</f>
        <v/>
      </c>
      <c r="M48">
        <f>IF(IFERROR(VLOOKUP(B48,Environments!$A$5:$I$50,3,FALSE),FALSE),L48*$B$2,0)</f>
        <v/>
      </c>
      <c r="N48">
        <f>L48+M48</f>
        <v/>
      </c>
      <c r="O48">
        <f>N48*12</f>
        <v/>
      </c>
    </row>
    <row r="49">
      <c r="A49">
        <f>Measurement!A47</f>
        <v/>
      </c>
      <c r="B49">
        <f>Measurement!B47</f>
        <v/>
      </c>
      <c r="C49">
        <f>Measurement!G47</f>
        <v/>
      </c>
      <c r="D49">
        <f>IF(SUMIF(Measurement!$B:$B,B49,Measurement!$G:$G)=0,0,C49/SUMIF(Measurement!$B:$B,B49,Measurement!$G:$G))</f>
        <v/>
      </c>
      <c r="E49">
        <f>Measurement!H47</f>
        <v/>
      </c>
      <c r="F49">
        <f>IF(SUMIF(Measurement!$B:$B,B49,Measurement!$H:$H)=0,0,E49/SUMIF(Measurement!$B:$B,B49,Measurement!$H:$H))</f>
        <v/>
      </c>
      <c r="G49">
        <f>IFERROR(VLOOKUP(B49,Environments!$A$5:$I$50,4,FALSE),0)</f>
        <v/>
      </c>
      <c r="H49">
        <f>IFERROR(VLOOKUP(B49,Environments!$A$5:$I$50,5,FALSE),0)</f>
        <v/>
      </c>
      <c r="I49">
        <f>IFERROR(VLOOKUP(B49,Environments!$A$5:$I$50,9,FALSE),0)</f>
        <v/>
      </c>
      <c r="J49">
        <f>(D49*G49+F49*H49)*Global!$B$3</f>
        <v/>
      </c>
      <c r="K49">
        <f>IF(SUMIF(Measurement!$B:$B,B49,Measurement!$H:$H)=0,D49*I49,F49*I49)</f>
        <v/>
      </c>
      <c r="L49">
        <f>J49+K49</f>
        <v/>
      </c>
      <c r="M49">
        <f>IF(IFERROR(VLOOKUP(B49,Environments!$A$5:$I$50,3,FALSE),FALSE),L49*$B$2,0)</f>
        <v/>
      </c>
      <c r="N49">
        <f>L49+M49</f>
        <v/>
      </c>
      <c r="O49">
        <f>N49*12</f>
        <v/>
      </c>
    </row>
    <row r="50">
      <c r="A50">
        <f>Measurement!A48</f>
        <v/>
      </c>
      <c r="B50">
        <f>Measurement!B48</f>
        <v/>
      </c>
      <c r="C50">
        <f>Measurement!G48</f>
        <v/>
      </c>
      <c r="D50">
        <f>IF(SUMIF(Measurement!$B:$B,B50,Measurement!$G:$G)=0,0,C50/SUMIF(Measurement!$B:$B,B50,Measurement!$G:$G))</f>
        <v/>
      </c>
      <c r="E50">
        <f>Measurement!H48</f>
        <v/>
      </c>
      <c r="F50">
        <f>IF(SUMIF(Measurement!$B:$B,B50,Measurement!$H:$H)=0,0,E50/SUMIF(Measurement!$B:$B,B50,Measurement!$H:$H))</f>
        <v/>
      </c>
      <c r="G50">
        <f>IFERROR(VLOOKUP(B50,Environments!$A$5:$I$50,4,FALSE),0)</f>
        <v/>
      </c>
      <c r="H50">
        <f>IFERROR(VLOOKUP(B50,Environments!$A$5:$I$50,5,FALSE),0)</f>
        <v/>
      </c>
      <c r="I50">
        <f>IFERROR(VLOOKUP(B50,Environments!$A$5:$I$50,9,FALSE),0)</f>
        <v/>
      </c>
      <c r="J50">
        <f>(D50*G50+F50*H50)*Global!$B$3</f>
        <v/>
      </c>
      <c r="K50">
        <f>IF(SUMIF(Measurement!$B:$B,B50,Measurement!$H:$H)=0,D50*I50,F50*I50)</f>
        <v/>
      </c>
      <c r="L50">
        <f>J50+K50</f>
        <v/>
      </c>
      <c r="M50">
        <f>IF(IFERROR(VLOOKUP(B50,Environments!$A$5:$I$50,3,FALSE),FALSE),L50*$B$2,0)</f>
        <v/>
      </c>
      <c r="N50">
        <f>L50+M50</f>
        <v/>
      </c>
      <c r="O50">
        <f>N50*12</f>
        <v/>
      </c>
    </row>
    <row r="51">
      <c r="A51">
        <f>Measurement!A49</f>
        <v/>
      </c>
      <c r="B51">
        <f>Measurement!B49</f>
        <v/>
      </c>
      <c r="C51">
        <f>Measurement!G49</f>
        <v/>
      </c>
      <c r="D51">
        <f>IF(SUMIF(Measurement!$B:$B,B51,Measurement!$G:$G)=0,0,C51/SUMIF(Measurement!$B:$B,B51,Measurement!$G:$G))</f>
        <v/>
      </c>
      <c r="E51">
        <f>Measurement!H49</f>
        <v/>
      </c>
      <c r="F51">
        <f>IF(SUMIF(Measurement!$B:$B,B51,Measurement!$H:$H)=0,0,E51/SUMIF(Measurement!$B:$B,B51,Measurement!$H:$H))</f>
        <v/>
      </c>
      <c r="G51">
        <f>IFERROR(VLOOKUP(B51,Environments!$A$5:$I$50,4,FALSE),0)</f>
        <v/>
      </c>
      <c r="H51">
        <f>IFERROR(VLOOKUP(B51,Environments!$A$5:$I$50,5,FALSE),0)</f>
        <v/>
      </c>
      <c r="I51">
        <f>IFERROR(VLOOKUP(B51,Environments!$A$5:$I$50,9,FALSE),0)</f>
        <v/>
      </c>
      <c r="J51">
        <f>(D51*G51+F51*H51)*Global!$B$3</f>
        <v/>
      </c>
      <c r="K51">
        <f>IF(SUMIF(Measurement!$B:$B,B51,Measurement!$H:$H)=0,D51*I51,F51*I51)</f>
        <v/>
      </c>
      <c r="L51">
        <f>J51+K51</f>
        <v/>
      </c>
      <c r="M51">
        <f>IF(IFERROR(VLOOKUP(B51,Environments!$A$5:$I$50,3,FALSE),FALSE),L51*$B$2,0)</f>
        <v/>
      </c>
      <c r="N51">
        <f>L51+M51</f>
        <v/>
      </c>
      <c r="O51">
        <f>N51*12</f>
        <v/>
      </c>
    </row>
    <row r="52">
      <c r="A52">
        <f>Measurement!A50</f>
        <v/>
      </c>
      <c r="B52">
        <f>Measurement!B50</f>
        <v/>
      </c>
      <c r="C52">
        <f>Measurement!G50</f>
        <v/>
      </c>
      <c r="D52">
        <f>IF(SUMIF(Measurement!$B:$B,B52,Measurement!$G:$G)=0,0,C52/SUMIF(Measurement!$B:$B,B52,Measurement!$G:$G))</f>
        <v/>
      </c>
      <c r="E52">
        <f>Measurement!H50</f>
        <v/>
      </c>
      <c r="F52">
        <f>IF(SUMIF(Measurement!$B:$B,B52,Measurement!$H:$H)=0,0,E52/SUMIF(Measurement!$B:$B,B52,Measurement!$H:$H))</f>
        <v/>
      </c>
      <c r="G52">
        <f>IFERROR(VLOOKUP(B52,Environments!$A$5:$I$50,4,FALSE),0)</f>
        <v/>
      </c>
      <c r="H52">
        <f>IFERROR(VLOOKUP(B52,Environments!$A$5:$I$50,5,FALSE),0)</f>
        <v/>
      </c>
      <c r="I52">
        <f>IFERROR(VLOOKUP(B52,Environments!$A$5:$I$50,9,FALSE),0)</f>
        <v/>
      </c>
      <c r="J52">
        <f>(D52*G52+F52*H52)*Global!$B$3</f>
        <v/>
      </c>
      <c r="K52">
        <f>IF(SUMIF(Measurement!$B:$B,B52,Measurement!$H:$H)=0,D52*I52,F52*I52)</f>
        <v/>
      </c>
      <c r="L52">
        <f>J52+K52</f>
        <v/>
      </c>
      <c r="M52">
        <f>IF(IFERROR(VLOOKUP(B52,Environments!$A$5:$I$50,3,FALSE),FALSE),L52*$B$2,0)</f>
        <v/>
      </c>
      <c r="N52">
        <f>L52+M52</f>
        <v/>
      </c>
      <c r="O52">
        <f>N52*12</f>
        <v/>
      </c>
    </row>
    <row r="53">
      <c r="A53">
        <f>Measurement!A51</f>
        <v/>
      </c>
      <c r="B53">
        <f>Measurement!B51</f>
        <v/>
      </c>
      <c r="C53">
        <f>Measurement!G51</f>
        <v/>
      </c>
      <c r="D53">
        <f>IF(SUMIF(Measurement!$B:$B,B53,Measurement!$G:$G)=0,0,C53/SUMIF(Measurement!$B:$B,B53,Measurement!$G:$G))</f>
        <v/>
      </c>
      <c r="E53">
        <f>Measurement!H51</f>
        <v/>
      </c>
      <c r="F53">
        <f>IF(SUMIF(Measurement!$B:$B,B53,Measurement!$H:$H)=0,0,E53/SUMIF(Measurement!$B:$B,B53,Measurement!$H:$H))</f>
        <v/>
      </c>
      <c r="G53">
        <f>IFERROR(VLOOKUP(B53,Environments!$A$5:$I$50,4,FALSE),0)</f>
        <v/>
      </c>
      <c r="H53">
        <f>IFERROR(VLOOKUP(B53,Environments!$A$5:$I$50,5,FALSE),0)</f>
        <v/>
      </c>
      <c r="I53">
        <f>IFERROR(VLOOKUP(B53,Environments!$A$5:$I$50,9,FALSE),0)</f>
        <v/>
      </c>
      <c r="J53">
        <f>(D53*G53+F53*H53)*Global!$B$3</f>
        <v/>
      </c>
      <c r="K53">
        <f>IF(SUMIF(Measurement!$B:$B,B53,Measurement!$H:$H)=0,D53*I53,F53*I53)</f>
        <v/>
      </c>
      <c r="L53">
        <f>J53+K53</f>
        <v/>
      </c>
      <c r="M53">
        <f>IF(IFERROR(VLOOKUP(B53,Environments!$A$5:$I$50,3,FALSE),FALSE),L53*$B$2,0)</f>
        <v/>
      </c>
      <c r="N53">
        <f>L53+M53</f>
        <v/>
      </c>
      <c r="O53">
        <f>N53*12</f>
        <v/>
      </c>
    </row>
    <row r="54">
      <c r="A54">
        <f>Measurement!A52</f>
        <v/>
      </c>
      <c r="B54">
        <f>Measurement!B52</f>
        <v/>
      </c>
      <c r="C54">
        <f>Measurement!G52</f>
        <v/>
      </c>
      <c r="D54">
        <f>IF(SUMIF(Measurement!$B:$B,B54,Measurement!$G:$G)=0,0,C54/SUMIF(Measurement!$B:$B,B54,Measurement!$G:$G))</f>
        <v/>
      </c>
      <c r="E54">
        <f>Measurement!H52</f>
        <v/>
      </c>
      <c r="F54">
        <f>IF(SUMIF(Measurement!$B:$B,B54,Measurement!$H:$H)=0,0,E54/SUMIF(Measurement!$B:$B,B54,Measurement!$H:$H))</f>
        <v/>
      </c>
      <c r="G54">
        <f>IFERROR(VLOOKUP(B54,Environments!$A$5:$I$50,4,FALSE),0)</f>
        <v/>
      </c>
      <c r="H54">
        <f>IFERROR(VLOOKUP(B54,Environments!$A$5:$I$50,5,FALSE),0)</f>
        <v/>
      </c>
      <c r="I54">
        <f>IFERROR(VLOOKUP(B54,Environments!$A$5:$I$50,9,FALSE),0)</f>
        <v/>
      </c>
      <c r="J54">
        <f>(D54*G54+F54*H54)*Global!$B$3</f>
        <v/>
      </c>
      <c r="K54">
        <f>IF(SUMIF(Measurement!$B:$B,B54,Measurement!$H:$H)=0,D54*I54,F54*I54)</f>
        <v/>
      </c>
      <c r="L54">
        <f>J54+K54</f>
        <v/>
      </c>
      <c r="M54">
        <f>IF(IFERROR(VLOOKUP(B54,Environments!$A$5:$I$50,3,FALSE),FALSE),L54*$B$2,0)</f>
        <v/>
      </c>
      <c r="N54">
        <f>L54+M54</f>
        <v/>
      </c>
      <c r="O54">
        <f>N54*12</f>
        <v/>
      </c>
    </row>
    <row r="55">
      <c r="A55">
        <f>Measurement!A53</f>
        <v/>
      </c>
      <c r="B55">
        <f>Measurement!B53</f>
        <v/>
      </c>
      <c r="C55">
        <f>Measurement!G53</f>
        <v/>
      </c>
      <c r="D55">
        <f>IF(SUMIF(Measurement!$B:$B,B55,Measurement!$G:$G)=0,0,C55/SUMIF(Measurement!$B:$B,B55,Measurement!$G:$G))</f>
        <v/>
      </c>
      <c r="E55">
        <f>Measurement!H53</f>
        <v/>
      </c>
      <c r="F55">
        <f>IF(SUMIF(Measurement!$B:$B,B55,Measurement!$H:$H)=0,0,E55/SUMIF(Measurement!$B:$B,B55,Measurement!$H:$H))</f>
        <v/>
      </c>
      <c r="G55">
        <f>IFERROR(VLOOKUP(B55,Environments!$A$5:$I$50,4,FALSE),0)</f>
        <v/>
      </c>
      <c r="H55">
        <f>IFERROR(VLOOKUP(B55,Environments!$A$5:$I$50,5,FALSE),0)</f>
        <v/>
      </c>
      <c r="I55">
        <f>IFERROR(VLOOKUP(B55,Environments!$A$5:$I$50,9,FALSE),0)</f>
        <v/>
      </c>
      <c r="J55">
        <f>(D55*G55+F55*H55)*Global!$B$3</f>
        <v/>
      </c>
      <c r="K55">
        <f>IF(SUMIF(Measurement!$B:$B,B55,Measurement!$H:$H)=0,D55*I55,F55*I55)</f>
        <v/>
      </c>
      <c r="L55">
        <f>J55+K55</f>
        <v/>
      </c>
      <c r="M55">
        <f>IF(IFERROR(VLOOKUP(B55,Environments!$A$5:$I$50,3,FALSE),FALSE),L55*$B$2,0)</f>
        <v/>
      </c>
      <c r="N55">
        <f>L55+M55</f>
        <v/>
      </c>
      <c r="O55">
        <f>N55*12</f>
        <v/>
      </c>
    </row>
    <row r="56">
      <c r="A56">
        <f>Measurement!A54</f>
        <v/>
      </c>
      <c r="B56">
        <f>Measurement!B54</f>
        <v/>
      </c>
      <c r="C56">
        <f>Measurement!G54</f>
        <v/>
      </c>
      <c r="D56">
        <f>IF(SUMIF(Measurement!$B:$B,B56,Measurement!$G:$G)=0,0,C56/SUMIF(Measurement!$B:$B,B56,Measurement!$G:$G))</f>
        <v/>
      </c>
      <c r="E56">
        <f>Measurement!H54</f>
        <v/>
      </c>
      <c r="F56">
        <f>IF(SUMIF(Measurement!$B:$B,B56,Measurement!$H:$H)=0,0,E56/SUMIF(Measurement!$B:$B,B56,Measurement!$H:$H))</f>
        <v/>
      </c>
      <c r="G56">
        <f>IFERROR(VLOOKUP(B56,Environments!$A$5:$I$50,4,FALSE),0)</f>
        <v/>
      </c>
      <c r="H56">
        <f>IFERROR(VLOOKUP(B56,Environments!$A$5:$I$50,5,FALSE),0)</f>
        <v/>
      </c>
      <c r="I56">
        <f>IFERROR(VLOOKUP(B56,Environments!$A$5:$I$50,9,FALSE),0)</f>
        <v/>
      </c>
      <c r="J56">
        <f>(D56*G56+F56*H56)*Global!$B$3</f>
        <v/>
      </c>
      <c r="K56">
        <f>IF(SUMIF(Measurement!$B:$B,B56,Measurement!$H:$H)=0,D56*I56,F56*I56)</f>
        <v/>
      </c>
      <c r="L56">
        <f>J56+K56</f>
        <v/>
      </c>
      <c r="M56">
        <f>IF(IFERROR(VLOOKUP(B56,Environments!$A$5:$I$50,3,FALSE),FALSE),L56*$B$2,0)</f>
        <v/>
      </c>
      <c r="N56">
        <f>L56+M56</f>
        <v/>
      </c>
      <c r="O56">
        <f>N56*12</f>
        <v/>
      </c>
    </row>
    <row r="57">
      <c r="A57">
        <f>Measurement!A55</f>
        <v/>
      </c>
      <c r="B57">
        <f>Measurement!B55</f>
        <v/>
      </c>
      <c r="C57">
        <f>Measurement!G55</f>
        <v/>
      </c>
      <c r="D57">
        <f>IF(SUMIF(Measurement!$B:$B,B57,Measurement!$G:$G)=0,0,C57/SUMIF(Measurement!$B:$B,B57,Measurement!$G:$G))</f>
        <v/>
      </c>
      <c r="E57">
        <f>Measurement!H55</f>
        <v/>
      </c>
      <c r="F57">
        <f>IF(SUMIF(Measurement!$B:$B,B57,Measurement!$H:$H)=0,0,E57/SUMIF(Measurement!$B:$B,B57,Measurement!$H:$H))</f>
        <v/>
      </c>
      <c r="G57">
        <f>IFERROR(VLOOKUP(B57,Environments!$A$5:$I$50,4,FALSE),0)</f>
        <v/>
      </c>
      <c r="H57">
        <f>IFERROR(VLOOKUP(B57,Environments!$A$5:$I$50,5,FALSE),0)</f>
        <v/>
      </c>
      <c r="I57">
        <f>IFERROR(VLOOKUP(B57,Environments!$A$5:$I$50,9,FALSE),0)</f>
        <v/>
      </c>
      <c r="J57">
        <f>(D57*G57+F57*H57)*Global!$B$3</f>
        <v/>
      </c>
      <c r="K57">
        <f>IF(SUMIF(Measurement!$B:$B,B57,Measurement!$H:$H)=0,D57*I57,F57*I57)</f>
        <v/>
      </c>
      <c r="L57">
        <f>J57+K57</f>
        <v/>
      </c>
      <c r="M57">
        <f>IF(IFERROR(VLOOKUP(B57,Environments!$A$5:$I$50,3,FALSE),FALSE),L57*$B$2,0)</f>
        <v/>
      </c>
      <c r="N57">
        <f>L57+M57</f>
        <v/>
      </c>
      <c r="O57">
        <f>N57*12</f>
        <v/>
      </c>
    </row>
    <row r="58">
      <c r="A58">
        <f>Measurement!A56</f>
        <v/>
      </c>
      <c r="B58">
        <f>Measurement!B56</f>
        <v/>
      </c>
      <c r="C58">
        <f>Measurement!G56</f>
        <v/>
      </c>
      <c r="D58">
        <f>IF(SUMIF(Measurement!$B:$B,B58,Measurement!$G:$G)=0,0,C58/SUMIF(Measurement!$B:$B,B58,Measurement!$G:$G))</f>
        <v/>
      </c>
      <c r="E58">
        <f>Measurement!H56</f>
        <v/>
      </c>
      <c r="F58">
        <f>IF(SUMIF(Measurement!$B:$B,B58,Measurement!$H:$H)=0,0,E58/SUMIF(Measurement!$B:$B,B58,Measurement!$H:$H))</f>
        <v/>
      </c>
      <c r="G58">
        <f>IFERROR(VLOOKUP(B58,Environments!$A$5:$I$50,4,FALSE),0)</f>
        <v/>
      </c>
      <c r="H58">
        <f>IFERROR(VLOOKUP(B58,Environments!$A$5:$I$50,5,FALSE),0)</f>
        <v/>
      </c>
      <c r="I58">
        <f>IFERROR(VLOOKUP(B58,Environments!$A$5:$I$50,9,FALSE),0)</f>
        <v/>
      </c>
      <c r="J58">
        <f>(D58*G58+F58*H58)*Global!$B$3</f>
        <v/>
      </c>
      <c r="K58">
        <f>IF(SUMIF(Measurement!$B:$B,B58,Measurement!$H:$H)=0,D58*I58,F58*I58)</f>
        <v/>
      </c>
      <c r="L58">
        <f>J58+K58</f>
        <v/>
      </c>
      <c r="M58">
        <f>IF(IFERROR(VLOOKUP(B58,Environments!$A$5:$I$50,3,FALSE),FALSE),L58*$B$2,0)</f>
        <v/>
      </c>
      <c r="N58">
        <f>L58+M58</f>
        <v/>
      </c>
      <c r="O58">
        <f>N58*12</f>
        <v/>
      </c>
    </row>
    <row r="59">
      <c r="A59">
        <f>Measurement!A57</f>
        <v/>
      </c>
      <c r="B59">
        <f>Measurement!B57</f>
        <v/>
      </c>
      <c r="C59">
        <f>Measurement!G57</f>
        <v/>
      </c>
      <c r="D59">
        <f>IF(SUMIF(Measurement!$B:$B,B59,Measurement!$G:$G)=0,0,C59/SUMIF(Measurement!$B:$B,B59,Measurement!$G:$G))</f>
        <v/>
      </c>
      <c r="E59">
        <f>Measurement!H57</f>
        <v/>
      </c>
      <c r="F59">
        <f>IF(SUMIF(Measurement!$B:$B,B59,Measurement!$H:$H)=0,0,E59/SUMIF(Measurement!$B:$B,B59,Measurement!$H:$H))</f>
        <v/>
      </c>
      <c r="G59">
        <f>IFERROR(VLOOKUP(B59,Environments!$A$5:$I$50,4,FALSE),0)</f>
        <v/>
      </c>
      <c r="H59">
        <f>IFERROR(VLOOKUP(B59,Environments!$A$5:$I$50,5,FALSE),0)</f>
        <v/>
      </c>
      <c r="I59">
        <f>IFERROR(VLOOKUP(B59,Environments!$A$5:$I$50,9,FALSE),0)</f>
        <v/>
      </c>
      <c r="J59">
        <f>(D59*G59+F59*H59)*Global!$B$3</f>
        <v/>
      </c>
      <c r="K59">
        <f>IF(SUMIF(Measurement!$B:$B,B59,Measurement!$H:$H)=0,D59*I59,F59*I59)</f>
        <v/>
      </c>
      <c r="L59">
        <f>J59+K59</f>
        <v/>
      </c>
      <c r="M59">
        <f>IF(IFERROR(VLOOKUP(B59,Environments!$A$5:$I$50,3,FALSE),FALSE),L59*$B$2,0)</f>
        <v/>
      </c>
      <c r="N59">
        <f>L59+M59</f>
        <v/>
      </c>
      <c r="O59">
        <f>N59*12</f>
        <v/>
      </c>
    </row>
    <row r="60">
      <c r="A60">
        <f>Measurement!A58</f>
        <v/>
      </c>
      <c r="B60">
        <f>Measurement!B58</f>
        <v/>
      </c>
      <c r="C60">
        <f>Measurement!G58</f>
        <v/>
      </c>
      <c r="D60">
        <f>IF(SUMIF(Measurement!$B:$B,B60,Measurement!$G:$G)=0,0,C60/SUMIF(Measurement!$B:$B,B60,Measurement!$G:$G))</f>
        <v/>
      </c>
      <c r="E60">
        <f>Measurement!H58</f>
        <v/>
      </c>
      <c r="F60">
        <f>IF(SUMIF(Measurement!$B:$B,B60,Measurement!$H:$H)=0,0,E60/SUMIF(Measurement!$B:$B,B60,Measurement!$H:$H))</f>
        <v/>
      </c>
      <c r="G60">
        <f>IFERROR(VLOOKUP(B60,Environments!$A$5:$I$50,4,FALSE),0)</f>
        <v/>
      </c>
      <c r="H60">
        <f>IFERROR(VLOOKUP(B60,Environments!$A$5:$I$50,5,FALSE),0)</f>
        <v/>
      </c>
      <c r="I60">
        <f>IFERROR(VLOOKUP(B60,Environments!$A$5:$I$50,9,FALSE),0)</f>
        <v/>
      </c>
      <c r="J60">
        <f>(D60*G60+F60*H60)*Global!$B$3</f>
        <v/>
      </c>
      <c r="K60">
        <f>IF(SUMIF(Measurement!$B:$B,B60,Measurement!$H:$H)=0,D60*I60,F60*I60)</f>
        <v/>
      </c>
      <c r="L60">
        <f>J60+K60</f>
        <v/>
      </c>
      <c r="M60">
        <f>IF(IFERROR(VLOOKUP(B60,Environments!$A$5:$I$50,3,FALSE),FALSE),L60*$B$2,0)</f>
        <v/>
      </c>
      <c r="N60">
        <f>L60+M60</f>
        <v/>
      </c>
      <c r="O60">
        <f>N60*12</f>
        <v/>
      </c>
    </row>
    <row r="61">
      <c r="A61">
        <f>Measurement!A59</f>
        <v/>
      </c>
      <c r="B61">
        <f>Measurement!B59</f>
        <v/>
      </c>
      <c r="C61">
        <f>Measurement!G59</f>
        <v/>
      </c>
      <c r="D61">
        <f>IF(SUMIF(Measurement!$B:$B,B61,Measurement!$G:$G)=0,0,C61/SUMIF(Measurement!$B:$B,B61,Measurement!$G:$G))</f>
        <v/>
      </c>
      <c r="E61">
        <f>Measurement!H59</f>
        <v/>
      </c>
      <c r="F61">
        <f>IF(SUMIF(Measurement!$B:$B,B61,Measurement!$H:$H)=0,0,E61/SUMIF(Measurement!$B:$B,B61,Measurement!$H:$H))</f>
        <v/>
      </c>
      <c r="G61">
        <f>IFERROR(VLOOKUP(B61,Environments!$A$5:$I$50,4,FALSE),0)</f>
        <v/>
      </c>
      <c r="H61">
        <f>IFERROR(VLOOKUP(B61,Environments!$A$5:$I$50,5,FALSE),0)</f>
        <v/>
      </c>
      <c r="I61">
        <f>IFERROR(VLOOKUP(B61,Environments!$A$5:$I$50,9,FALSE),0)</f>
        <v/>
      </c>
      <c r="J61">
        <f>(D61*G61+F61*H61)*Global!$B$3</f>
        <v/>
      </c>
      <c r="K61">
        <f>IF(SUMIF(Measurement!$B:$B,B61,Measurement!$H:$H)=0,D61*I61,F61*I61)</f>
        <v/>
      </c>
      <c r="L61">
        <f>J61+K61</f>
        <v/>
      </c>
      <c r="M61">
        <f>IF(IFERROR(VLOOKUP(B61,Environments!$A$5:$I$50,3,FALSE),FALSE),L61*$B$2,0)</f>
        <v/>
      </c>
      <c r="N61">
        <f>L61+M61</f>
        <v/>
      </c>
      <c r="O61">
        <f>N61*12</f>
        <v/>
      </c>
    </row>
    <row r="62">
      <c r="A62">
        <f>Measurement!A60</f>
        <v/>
      </c>
      <c r="B62">
        <f>Measurement!B60</f>
        <v/>
      </c>
      <c r="C62">
        <f>Measurement!G60</f>
        <v/>
      </c>
      <c r="D62">
        <f>IF(SUMIF(Measurement!$B:$B,B62,Measurement!$G:$G)=0,0,C62/SUMIF(Measurement!$B:$B,B62,Measurement!$G:$G))</f>
        <v/>
      </c>
      <c r="E62">
        <f>Measurement!H60</f>
        <v/>
      </c>
      <c r="F62">
        <f>IF(SUMIF(Measurement!$B:$B,B62,Measurement!$H:$H)=0,0,E62/SUMIF(Measurement!$B:$B,B62,Measurement!$H:$H))</f>
        <v/>
      </c>
      <c r="G62">
        <f>IFERROR(VLOOKUP(B62,Environments!$A$5:$I$50,4,FALSE),0)</f>
        <v/>
      </c>
      <c r="H62">
        <f>IFERROR(VLOOKUP(B62,Environments!$A$5:$I$50,5,FALSE),0)</f>
        <v/>
      </c>
      <c r="I62">
        <f>IFERROR(VLOOKUP(B62,Environments!$A$5:$I$50,9,FALSE),0)</f>
        <v/>
      </c>
      <c r="J62">
        <f>(D62*G62+F62*H62)*Global!$B$3</f>
        <v/>
      </c>
      <c r="K62">
        <f>IF(SUMIF(Measurement!$B:$B,B62,Measurement!$H:$H)=0,D62*I62,F62*I62)</f>
        <v/>
      </c>
      <c r="L62">
        <f>J62+K62</f>
        <v/>
      </c>
      <c r="M62">
        <f>IF(IFERROR(VLOOKUP(B62,Environments!$A$5:$I$50,3,FALSE),FALSE),L62*$B$2,0)</f>
        <v/>
      </c>
      <c r="N62">
        <f>L62+M62</f>
        <v/>
      </c>
      <c r="O62">
        <f>N62*12</f>
        <v/>
      </c>
    </row>
    <row r="63">
      <c r="A63">
        <f>Measurement!A61</f>
        <v/>
      </c>
      <c r="B63">
        <f>Measurement!B61</f>
        <v/>
      </c>
      <c r="C63">
        <f>Measurement!G61</f>
        <v/>
      </c>
      <c r="D63">
        <f>IF(SUMIF(Measurement!$B:$B,B63,Measurement!$G:$G)=0,0,C63/SUMIF(Measurement!$B:$B,B63,Measurement!$G:$G))</f>
        <v/>
      </c>
      <c r="E63">
        <f>Measurement!H61</f>
        <v/>
      </c>
      <c r="F63">
        <f>IF(SUMIF(Measurement!$B:$B,B63,Measurement!$H:$H)=0,0,E63/SUMIF(Measurement!$B:$B,B63,Measurement!$H:$H))</f>
        <v/>
      </c>
      <c r="G63">
        <f>IFERROR(VLOOKUP(B63,Environments!$A$5:$I$50,4,FALSE),0)</f>
        <v/>
      </c>
      <c r="H63">
        <f>IFERROR(VLOOKUP(B63,Environments!$A$5:$I$50,5,FALSE),0)</f>
        <v/>
      </c>
      <c r="I63">
        <f>IFERROR(VLOOKUP(B63,Environments!$A$5:$I$50,9,FALSE),0)</f>
        <v/>
      </c>
      <c r="J63">
        <f>(D63*G63+F63*H63)*Global!$B$3</f>
        <v/>
      </c>
      <c r="K63">
        <f>IF(SUMIF(Measurement!$B:$B,B63,Measurement!$H:$H)=0,D63*I63,F63*I63)</f>
        <v/>
      </c>
      <c r="L63">
        <f>J63+K63</f>
        <v/>
      </c>
      <c r="M63">
        <f>IF(IFERROR(VLOOKUP(B63,Environments!$A$5:$I$50,3,FALSE),FALSE),L63*$B$2,0)</f>
        <v/>
      </c>
      <c r="N63">
        <f>L63+M63</f>
        <v/>
      </c>
      <c r="O63">
        <f>N63*12</f>
        <v/>
      </c>
    </row>
    <row r="64">
      <c r="A64">
        <f>Measurement!A62</f>
        <v/>
      </c>
      <c r="B64">
        <f>Measurement!B62</f>
        <v/>
      </c>
      <c r="C64">
        <f>Measurement!G62</f>
        <v/>
      </c>
      <c r="D64">
        <f>IF(SUMIF(Measurement!$B:$B,B64,Measurement!$G:$G)=0,0,C64/SUMIF(Measurement!$B:$B,B64,Measurement!$G:$G))</f>
        <v/>
      </c>
      <c r="E64">
        <f>Measurement!H62</f>
        <v/>
      </c>
      <c r="F64">
        <f>IF(SUMIF(Measurement!$B:$B,B64,Measurement!$H:$H)=0,0,E64/SUMIF(Measurement!$B:$B,B64,Measurement!$H:$H))</f>
        <v/>
      </c>
      <c r="G64">
        <f>IFERROR(VLOOKUP(B64,Environments!$A$5:$I$50,4,FALSE),0)</f>
        <v/>
      </c>
      <c r="H64">
        <f>IFERROR(VLOOKUP(B64,Environments!$A$5:$I$50,5,FALSE),0)</f>
        <v/>
      </c>
      <c r="I64">
        <f>IFERROR(VLOOKUP(B64,Environments!$A$5:$I$50,9,FALSE),0)</f>
        <v/>
      </c>
      <c r="J64">
        <f>(D64*G64+F64*H64)*Global!$B$3</f>
        <v/>
      </c>
      <c r="K64">
        <f>IF(SUMIF(Measurement!$B:$B,B64,Measurement!$H:$H)=0,D64*I64,F64*I64)</f>
        <v/>
      </c>
      <c r="L64">
        <f>J64+K64</f>
        <v/>
      </c>
      <c r="M64">
        <f>IF(IFERROR(VLOOKUP(B64,Environments!$A$5:$I$50,3,FALSE),FALSE),L64*$B$2,0)</f>
        <v/>
      </c>
      <c r="N64">
        <f>L64+M64</f>
        <v/>
      </c>
      <c r="O64">
        <f>N64*12</f>
        <v/>
      </c>
    </row>
    <row r="65">
      <c r="A65">
        <f>Measurement!A63</f>
        <v/>
      </c>
      <c r="B65">
        <f>Measurement!B63</f>
        <v/>
      </c>
      <c r="C65">
        <f>Measurement!G63</f>
        <v/>
      </c>
      <c r="D65">
        <f>IF(SUMIF(Measurement!$B:$B,B65,Measurement!$G:$G)=0,0,C65/SUMIF(Measurement!$B:$B,B65,Measurement!$G:$G))</f>
        <v/>
      </c>
      <c r="E65">
        <f>Measurement!H63</f>
        <v/>
      </c>
      <c r="F65">
        <f>IF(SUMIF(Measurement!$B:$B,B65,Measurement!$H:$H)=0,0,E65/SUMIF(Measurement!$B:$B,B65,Measurement!$H:$H))</f>
        <v/>
      </c>
      <c r="G65">
        <f>IFERROR(VLOOKUP(B65,Environments!$A$5:$I$50,4,FALSE),0)</f>
        <v/>
      </c>
      <c r="H65">
        <f>IFERROR(VLOOKUP(B65,Environments!$A$5:$I$50,5,FALSE),0)</f>
        <v/>
      </c>
      <c r="I65">
        <f>IFERROR(VLOOKUP(B65,Environments!$A$5:$I$50,9,FALSE),0)</f>
        <v/>
      </c>
      <c r="J65">
        <f>(D65*G65+F65*H65)*Global!$B$3</f>
        <v/>
      </c>
      <c r="K65">
        <f>IF(SUMIF(Measurement!$B:$B,B65,Measurement!$H:$H)=0,D65*I65,F65*I65)</f>
        <v/>
      </c>
      <c r="L65">
        <f>J65+K65</f>
        <v/>
      </c>
      <c r="M65">
        <f>IF(IFERROR(VLOOKUP(B65,Environments!$A$5:$I$50,3,FALSE),FALSE),L65*$B$2,0)</f>
        <v/>
      </c>
      <c r="N65">
        <f>L65+M65</f>
        <v/>
      </c>
      <c r="O65">
        <f>N65*12</f>
        <v/>
      </c>
    </row>
    <row r="66">
      <c r="A66">
        <f>Measurement!A64</f>
        <v/>
      </c>
      <c r="B66">
        <f>Measurement!B64</f>
        <v/>
      </c>
      <c r="C66">
        <f>Measurement!G64</f>
        <v/>
      </c>
      <c r="D66">
        <f>IF(SUMIF(Measurement!$B:$B,B66,Measurement!$G:$G)=0,0,C66/SUMIF(Measurement!$B:$B,B66,Measurement!$G:$G))</f>
        <v/>
      </c>
      <c r="E66">
        <f>Measurement!H64</f>
        <v/>
      </c>
      <c r="F66">
        <f>IF(SUMIF(Measurement!$B:$B,B66,Measurement!$H:$H)=0,0,E66/SUMIF(Measurement!$B:$B,B66,Measurement!$H:$H))</f>
        <v/>
      </c>
      <c r="G66">
        <f>IFERROR(VLOOKUP(B66,Environments!$A$5:$I$50,4,FALSE),0)</f>
        <v/>
      </c>
      <c r="H66">
        <f>IFERROR(VLOOKUP(B66,Environments!$A$5:$I$50,5,FALSE),0)</f>
        <v/>
      </c>
      <c r="I66">
        <f>IFERROR(VLOOKUP(B66,Environments!$A$5:$I$50,9,FALSE),0)</f>
        <v/>
      </c>
      <c r="J66">
        <f>(D66*G66+F66*H66)*Global!$B$3</f>
        <v/>
      </c>
      <c r="K66">
        <f>IF(SUMIF(Measurement!$B:$B,B66,Measurement!$H:$H)=0,D66*I66,F66*I66)</f>
        <v/>
      </c>
      <c r="L66">
        <f>J66+K66</f>
        <v/>
      </c>
      <c r="M66">
        <f>IF(IFERROR(VLOOKUP(B66,Environments!$A$5:$I$50,3,FALSE),FALSE),L66*$B$2,0)</f>
        <v/>
      </c>
      <c r="N66">
        <f>L66+M66</f>
        <v/>
      </c>
      <c r="O66">
        <f>N66*12</f>
        <v/>
      </c>
    </row>
    <row r="67">
      <c r="A67">
        <f>Measurement!A65</f>
        <v/>
      </c>
      <c r="B67">
        <f>Measurement!B65</f>
        <v/>
      </c>
      <c r="C67">
        <f>Measurement!G65</f>
        <v/>
      </c>
      <c r="D67">
        <f>IF(SUMIF(Measurement!$B:$B,B67,Measurement!$G:$G)=0,0,C67/SUMIF(Measurement!$B:$B,B67,Measurement!$G:$G))</f>
        <v/>
      </c>
      <c r="E67">
        <f>Measurement!H65</f>
        <v/>
      </c>
      <c r="F67">
        <f>IF(SUMIF(Measurement!$B:$B,B67,Measurement!$H:$H)=0,0,E67/SUMIF(Measurement!$B:$B,B67,Measurement!$H:$H))</f>
        <v/>
      </c>
      <c r="G67">
        <f>IFERROR(VLOOKUP(B67,Environments!$A$5:$I$50,4,FALSE),0)</f>
        <v/>
      </c>
      <c r="H67">
        <f>IFERROR(VLOOKUP(B67,Environments!$A$5:$I$50,5,FALSE),0)</f>
        <v/>
      </c>
      <c r="I67">
        <f>IFERROR(VLOOKUP(B67,Environments!$A$5:$I$50,9,FALSE),0)</f>
        <v/>
      </c>
      <c r="J67">
        <f>(D67*G67+F67*H67)*Global!$B$3</f>
        <v/>
      </c>
      <c r="K67">
        <f>IF(SUMIF(Measurement!$B:$B,B67,Measurement!$H:$H)=0,D67*I67,F67*I67)</f>
        <v/>
      </c>
      <c r="L67">
        <f>J67+K67</f>
        <v/>
      </c>
      <c r="M67">
        <f>IF(IFERROR(VLOOKUP(B67,Environments!$A$5:$I$50,3,FALSE),FALSE),L67*$B$2,0)</f>
        <v/>
      </c>
      <c r="N67">
        <f>L67+M67</f>
        <v/>
      </c>
      <c r="O67">
        <f>N67*12</f>
        <v/>
      </c>
    </row>
    <row r="68">
      <c r="A68">
        <f>Measurement!A66</f>
        <v/>
      </c>
      <c r="B68">
        <f>Measurement!B66</f>
        <v/>
      </c>
      <c r="C68">
        <f>Measurement!G66</f>
        <v/>
      </c>
      <c r="D68">
        <f>IF(SUMIF(Measurement!$B:$B,B68,Measurement!$G:$G)=0,0,C68/SUMIF(Measurement!$B:$B,B68,Measurement!$G:$G))</f>
        <v/>
      </c>
      <c r="E68">
        <f>Measurement!H66</f>
        <v/>
      </c>
      <c r="F68">
        <f>IF(SUMIF(Measurement!$B:$B,B68,Measurement!$H:$H)=0,0,E68/SUMIF(Measurement!$B:$B,B68,Measurement!$H:$H))</f>
        <v/>
      </c>
      <c r="G68">
        <f>IFERROR(VLOOKUP(B68,Environments!$A$5:$I$50,4,FALSE),0)</f>
        <v/>
      </c>
      <c r="H68">
        <f>IFERROR(VLOOKUP(B68,Environments!$A$5:$I$50,5,FALSE),0)</f>
        <v/>
      </c>
      <c r="I68">
        <f>IFERROR(VLOOKUP(B68,Environments!$A$5:$I$50,9,FALSE),0)</f>
        <v/>
      </c>
      <c r="J68">
        <f>(D68*G68+F68*H68)*Global!$B$3</f>
        <v/>
      </c>
      <c r="K68">
        <f>IF(SUMIF(Measurement!$B:$B,B68,Measurement!$H:$H)=0,D68*I68,F68*I68)</f>
        <v/>
      </c>
      <c r="L68">
        <f>J68+K68</f>
        <v/>
      </c>
      <c r="M68">
        <f>IF(IFERROR(VLOOKUP(B68,Environments!$A$5:$I$50,3,FALSE),FALSE),L68*$B$2,0)</f>
        <v/>
      </c>
      <c r="N68">
        <f>L68+M68</f>
        <v/>
      </c>
      <c r="O68">
        <f>N68*12</f>
        <v/>
      </c>
    </row>
    <row r="69">
      <c r="A69">
        <f>Measurement!A67</f>
        <v/>
      </c>
      <c r="B69">
        <f>Measurement!B67</f>
        <v/>
      </c>
      <c r="C69">
        <f>Measurement!G67</f>
        <v/>
      </c>
      <c r="D69">
        <f>IF(SUMIF(Measurement!$B:$B,B69,Measurement!$G:$G)=0,0,C69/SUMIF(Measurement!$B:$B,B69,Measurement!$G:$G))</f>
        <v/>
      </c>
      <c r="E69">
        <f>Measurement!H67</f>
        <v/>
      </c>
      <c r="F69">
        <f>IF(SUMIF(Measurement!$B:$B,B69,Measurement!$H:$H)=0,0,E69/SUMIF(Measurement!$B:$B,B69,Measurement!$H:$H))</f>
        <v/>
      </c>
      <c r="G69">
        <f>IFERROR(VLOOKUP(B69,Environments!$A$5:$I$50,4,FALSE),0)</f>
        <v/>
      </c>
      <c r="H69">
        <f>IFERROR(VLOOKUP(B69,Environments!$A$5:$I$50,5,FALSE),0)</f>
        <v/>
      </c>
      <c r="I69">
        <f>IFERROR(VLOOKUP(B69,Environments!$A$5:$I$50,9,FALSE),0)</f>
        <v/>
      </c>
      <c r="J69">
        <f>(D69*G69+F69*H69)*Global!$B$3</f>
        <v/>
      </c>
      <c r="K69">
        <f>IF(SUMIF(Measurement!$B:$B,B69,Measurement!$H:$H)=0,D69*I69,F69*I69)</f>
        <v/>
      </c>
      <c r="L69">
        <f>J69+K69</f>
        <v/>
      </c>
      <c r="M69">
        <f>IF(IFERROR(VLOOKUP(B69,Environments!$A$5:$I$50,3,FALSE),FALSE),L69*$B$2,0)</f>
        <v/>
      </c>
      <c r="N69">
        <f>L69+M69</f>
        <v/>
      </c>
      <c r="O69">
        <f>N69*12</f>
        <v/>
      </c>
    </row>
    <row r="70">
      <c r="A70">
        <f>Measurement!A68</f>
        <v/>
      </c>
      <c r="B70">
        <f>Measurement!B68</f>
        <v/>
      </c>
      <c r="C70">
        <f>Measurement!G68</f>
        <v/>
      </c>
      <c r="D70">
        <f>IF(SUMIF(Measurement!$B:$B,B70,Measurement!$G:$G)=0,0,C70/SUMIF(Measurement!$B:$B,B70,Measurement!$G:$G))</f>
        <v/>
      </c>
      <c r="E70">
        <f>Measurement!H68</f>
        <v/>
      </c>
      <c r="F70">
        <f>IF(SUMIF(Measurement!$B:$B,B70,Measurement!$H:$H)=0,0,E70/SUMIF(Measurement!$B:$B,B70,Measurement!$H:$H))</f>
        <v/>
      </c>
      <c r="G70">
        <f>IFERROR(VLOOKUP(B70,Environments!$A$5:$I$50,4,FALSE),0)</f>
        <v/>
      </c>
      <c r="H70">
        <f>IFERROR(VLOOKUP(B70,Environments!$A$5:$I$50,5,FALSE),0)</f>
        <v/>
      </c>
      <c r="I70">
        <f>IFERROR(VLOOKUP(B70,Environments!$A$5:$I$50,9,FALSE),0)</f>
        <v/>
      </c>
      <c r="J70">
        <f>(D70*G70+F70*H70)*Global!$B$3</f>
        <v/>
      </c>
      <c r="K70">
        <f>IF(SUMIF(Measurement!$B:$B,B70,Measurement!$H:$H)=0,D70*I70,F70*I70)</f>
        <v/>
      </c>
      <c r="L70">
        <f>J70+K70</f>
        <v/>
      </c>
      <c r="M70">
        <f>IF(IFERROR(VLOOKUP(B70,Environments!$A$5:$I$50,3,FALSE),FALSE),L70*$B$2,0)</f>
        <v/>
      </c>
      <c r="N70">
        <f>L70+M70</f>
        <v/>
      </c>
      <c r="O70">
        <f>N70*12</f>
        <v/>
      </c>
    </row>
    <row r="71">
      <c r="A71">
        <f>Measurement!A69</f>
        <v/>
      </c>
      <c r="B71">
        <f>Measurement!B69</f>
        <v/>
      </c>
      <c r="C71">
        <f>Measurement!G69</f>
        <v/>
      </c>
      <c r="D71">
        <f>IF(SUMIF(Measurement!$B:$B,B71,Measurement!$G:$G)=0,0,C71/SUMIF(Measurement!$B:$B,B71,Measurement!$G:$G))</f>
        <v/>
      </c>
      <c r="E71">
        <f>Measurement!H69</f>
        <v/>
      </c>
      <c r="F71">
        <f>IF(SUMIF(Measurement!$B:$B,B71,Measurement!$H:$H)=0,0,E71/SUMIF(Measurement!$B:$B,B71,Measurement!$H:$H))</f>
        <v/>
      </c>
      <c r="G71">
        <f>IFERROR(VLOOKUP(B71,Environments!$A$5:$I$50,4,FALSE),0)</f>
        <v/>
      </c>
      <c r="H71">
        <f>IFERROR(VLOOKUP(B71,Environments!$A$5:$I$50,5,FALSE),0)</f>
        <v/>
      </c>
      <c r="I71">
        <f>IFERROR(VLOOKUP(B71,Environments!$A$5:$I$50,9,FALSE),0)</f>
        <v/>
      </c>
      <c r="J71">
        <f>(D71*G71+F71*H71)*Global!$B$3</f>
        <v/>
      </c>
      <c r="K71">
        <f>IF(SUMIF(Measurement!$B:$B,B71,Measurement!$H:$H)=0,D71*I71,F71*I71)</f>
        <v/>
      </c>
      <c r="L71">
        <f>J71+K71</f>
        <v/>
      </c>
      <c r="M71">
        <f>IF(IFERROR(VLOOKUP(B71,Environments!$A$5:$I$50,3,FALSE),FALSE),L71*$B$2,0)</f>
        <v/>
      </c>
      <c r="N71">
        <f>L71+M71</f>
        <v/>
      </c>
      <c r="O71">
        <f>N71*12</f>
        <v/>
      </c>
    </row>
    <row r="72">
      <c r="A72">
        <f>Measurement!A70</f>
        <v/>
      </c>
      <c r="B72">
        <f>Measurement!B70</f>
        <v/>
      </c>
      <c r="C72">
        <f>Measurement!G70</f>
        <v/>
      </c>
      <c r="D72">
        <f>IF(SUMIF(Measurement!$B:$B,B72,Measurement!$G:$G)=0,0,C72/SUMIF(Measurement!$B:$B,B72,Measurement!$G:$G))</f>
        <v/>
      </c>
      <c r="E72">
        <f>Measurement!H70</f>
        <v/>
      </c>
      <c r="F72">
        <f>IF(SUMIF(Measurement!$B:$B,B72,Measurement!$H:$H)=0,0,E72/SUMIF(Measurement!$B:$B,B72,Measurement!$H:$H))</f>
        <v/>
      </c>
      <c r="G72">
        <f>IFERROR(VLOOKUP(B72,Environments!$A$5:$I$50,4,FALSE),0)</f>
        <v/>
      </c>
      <c r="H72">
        <f>IFERROR(VLOOKUP(B72,Environments!$A$5:$I$50,5,FALSE),0)</f>
        <v/>
      </c>
      <c r="I72">
        <f>IFERROR(VLOOKUP(B72,Environments!$A$5:$I$50,9,FALSE),0)</f>
        <v/>
      </c>
      <c r="J72">
        <f>(D72*G72+F72*H72)*Global!$B$3</f>
        <v/>
      </c>
      <c r="K72">
        <f>IF(SUMIF(Measurement!$B:$B,B72,Measurement!$H:$H)=0,D72*I72,F72*I72)</f>
        <v/>
      </c>
      <c r="L72">
        <f>J72+K72</f>
        <v/>
      </c>
      <c r="M72">
        <f>IF(IFERROR(VLOOKUP(B72,Environments!$A$5:$I$50,3,FALSE),FALSE),L72*$B$2,0)</f>
        <v/>
      </c>
      <c r="N72">
        <f>L72+M72</f>
        <v/>
      </c>
      <c r="O72">
        <f>N72*12</f>
        <v/>
      </c>
    </row>
    <row r="73">
      <c r="A73">
        <f>Measurement!A71</f>
        <v/>
      </c>
      <c r="B73">
        <f>Measurement!B71</f>
        <v/>
      </c>
      <c r="C73">
        <f>Measurement!G71</f>
        <v/>
      </c>
      <c r="D73">
        <f>IF(SUMIF(Measurement!$B:$B,B73,Measurement!$G:$G)=0,0,C73/SUMIF(Measurement!$B:$B,B73,Measurement!$G:$G))</f>
        <v/>
      </c>
      <c r="E73">
        <f>Measurement!H71</f>
        <v/>
      </c>
      <c r="F73">
        <f>IF(SUMIF(Measurement!$B:$B,B73,Measurement!$H:$H)=0,0,E73/SUMIF(Measurement!$B:$B,B73,Measurement!$H:$H))</f>
        <v/>
      </c>
      <c r="G73">
        <f>IFERROR(VLOOKUP(B73,Environments!$A$5:$I$50,4,FALSE),0)</f>
        <v/>
      </c>
      <c r="H73">
        <f>IFERROR(VLOOKUP(B73,Environments!$A$5:$I$50,5,FALSE),0)</f>
        <v/>
      </c>
      <c r="I73">
        <f>IFERROR(VLOOKUP(B73,Environments!$A$5:$I$50,9,FALSE),0)</f>
        <v/>
      </c>
      <c r="J73">
        <f>(D73*G73+F73*H73)*Global!$B$3</f>
        <v/>
      </c>
      <c r="K73">
        <f>IF(SUMIF(Measurement!$B:$B,B73,Measurement!$H:$H)=0,D73*I73,F73*I73)</f>
        <v/>
      </c>
      <c r="L73">
        <f>J73+K73</f>
        <v/>
      </c>
      <c r="M73">
        <f>IF(IFERROR(VLOOKUP(B73,Environments!$A$5:$I$50,3,FALSE),FALSE),L73*$B$2,0)</f>
        <v/>
      </c>
      <c r="N73">
        <f>L73+M73</f>
        <v/>
      </c>
      <c r="O73">
        <f>N73*12</f>
        <v/>
      </c>
    </row>
    <row r="74">
      <c r="A74">
        <f>Measurement!A72</f>
        <v/>
      </c>
      <c r="B74">
        <f>Measurement!B72</f>
        <v/>
      </c>
      <c r="C74">
        <f>Measurement!G72</f>
        <v/>
      </c>
      <c r="D74">
        <f>IF(SUMIF(Measurement!$B:$B,B74,Measurement!$G:$G)=0,0,C74/SUMIF(Measurement!$B:$B,B74,Measurement!$G:$G))</f>
        <v/>
      </c>
      <c r="E74">
        <f>Measurement!H72</f>
        <v/>
      </c>
      <c r="F74">
        <f>IF(SUMIF(Measurement!$B:$B,B74,Measurement!$H:$H)=0,0,E74/SUMIF(Measurement!$B:$B,B74,Measurement!$H:$H))</f>
        <v/>
      </c>
      <c r="G74">
        <f>IFERROR(VLOOKUP(B74,Environments!$A$5:$I$50,4,FALSE),0)</f>
        <v/>
      </c>
      <c r="H74">
        <f>IFERROR(VLOOKUP(B74,Environments!$A$5:$I$50,5,FALSE),0)</f>
        <v/>
      </c>
      <c r="I74">
        <f>IFERROR(VLOOKUP(B74,Environments!$A$5:$I$50,9,FALSE),0)</f>
        <v/>
      </c>
      <c r="J74">
        <f>(D74*G74+F74*H74)*Global!$B$3</f>
        <v/>
      </c>
      <c r="K74">
        <f>IF(SUMIF(Measurement!$B:$B,B74,Measurement!$H:$H)=0,D74*I74,F74*I74)</f>
        <v/>
      </c>
      <c r="L74">
        <f>J74+K74</f>
        <v/>
      </c>
      <c r="M74">
        <f>IF(IFERROR(VLOOKUP(B74,Environments!$A$5:$I$50,3,FALSE),FALSE),L74*$B$2,0)</f>
        <v/>
      </c>
      <c r="N74">
        <f>L74+M74</f>
        <v/>
      </c>
      <c r="O74">
        <f>N74*12</f>
        <v/>
      </c>
    </row>
    <row r="75">
      <c r="A75">
        <f>Measurement!A73</f>
        <v/>
      </c>
      <c r="B75">
        <f>Measurement!B73</f>
        <v/>
      </c>
      <c r="C75">
        <f>Measurement!G73</f>
        <v/>
      </c>
      <c r="D75">
        <f>IF(SUMIF(Measurement!$B:$B,B75,Measurement!$G:$G)=0,0,C75/SUMIF(Measurement!$B:$B,B75,Measurement!$G:$G))</f>
        <v/>
      </c>
      <c r="E75">
        <f>Measurement!H73</f>
        <v/>
      </c>
      <c r="F75">
        <f>IF(SUMIF(Measurement!$B:$B,B75,Measurement!$H:$H)=0,0,E75/SUMIF(Measurement!$B:$B,B75,Measurement!$H:$H))</f>
        <v/>
      </c>
      <c r="G75">
        <f>IFERROR(VLOOKUP(B75,Environments!$A$5:$I$50,4,FALSE),0)</f>
        <v/>
      </c>
      <c r="H75">
        <f>IFERROR(VLOOKUP(B75,Environments!$A$5:$I$50,5,FALSE),0)</f>
        <v/>
      </c>
      <c r="I75">
        <f>IFERROR(VLOOKUP(B75,Environments!$A$5:$I$50,9,FALSE),0)</f>
        <v/>
      </c>
      <c r="J75">
        <f>(D75*G75+F75*H75)*Global!$B$3</f>
        <v/>
      </c>
      <c r="K75">
        <f>IF(SUMIF(Measurement!$B:$B,B75,Measurement!$H:$H)=0,D75*I75,F75*I75)</f>
        <v/>
      </c>
      <c r="L75">
        <f>J75+K75</f>
        <v/>
      </c>
      <c r="M75">
        <f>IF(IFERROR(VLOOKUP(B75,Environments!$A$5:$I$50,3,FALSE),FALSE),L75*$B$2,0)</f>
        <v/>
      </c>
      <c r="N75">
        <f>L75+M75</f>
        <v/>
      </c>
      <c r="O75">
        <f>N75*12</f>
        <v/>
      </c>
    </row>
    <row r="76">
      <c r="A76">
        <f>Measurement!A74</f>
        <v/>
      </c>
      <c r="B76">
        <f>Measurement!B74</f>
        <v/>
      </c>
      <c r="C76">
        <f>Measurement!G74</f>
        <v/>
      </c>
      <c r="D76">
        <f>IF(SUMIF(Measurement!$B:$B,B76,Measurement!$G:$G)=0,0,C76/SUMIF(Measurement!$B:$B,B76,Measurement!$G:$G))</f>
        <v/>
      </c>
      <c r="E76">
        <f>Measurement!H74</f>
        <v/>
      </c>
      <c r="F76">
        <f>IF(SUMIF(Measurement!$B:$B,B76,Measurement!$H:$H)=0,0,E76/SUMIF(Measurement!$B:$B,B76,Measurement!$H:$H))</f>
        <v/>
      </c>
      <c r="G76">
        <f>IFERROR(VLOOKUP(B76,Environments!$A$5:$I$50,4,FALSE),0)</f>
        <v/>
      </c>
      <c r="H76">
        <f>IFERROR(VLOOKUP(B76,Environments!$A$5:$I$50,5,FALSE),0)</f>
        <v/>
      </c>
      <c r="I76">
        <f>IFERROR(VLOOKUP(B76,Environments!$A$5:$I$50,9,FALSE),0)</f>
        <v/>
      </c>
      <c r="J76">
        <f>(D76*G76+F76*H76)*Global!$B$3</f>
        <v/>
      </c>
      <c r="K76">
        <f>IF(SUMIF(Measurement!$B:$B,B76,Measurement!$H:$H)=0,D76*I76,F76*I76)</f>
        <v/>
      </c>
      <c r="L76">
        <f>J76+K76</f>
        <v/>
      </c>
      <c r="M76">
        <f>IF(IFERROR(VLOOKUP(B76,Environments!$A$5:$I$50,3,FALSE),FALSE),L76*$B$2,0)</f>
        <v/>
      </c>
      <c r="N76">
        <f>L76+M76</f>
        <v/>
      </c>
      <c r="O76">
        <f>N76*12</f>
        <v/>
      </c>
    </row>
    <row r="77">
      <c r="A77">
        <f>Measurement!A75</f>
        <v/>
      </c>
      <c r="B77">
        <f>Measurement!B75</f>
        <v/>
      </c>
      <c r="C77">
        <f>Measurement!G75</f>
        <v/>
      </c>
      <c r="D77">
        <f>IF(SUMIF(Measurement!$B:$B,B77,Measurement!$G:$G)=0,0,C77/SUMIF(Measurement!$B:$B,B77,Measurement!$G:$G))</f>
        <v/>
      </c>
      <c r="E77">
        <f>Measurement!H75</f>
        <v/>
      </c>
      <c r="F77">
        <f>IF(SUMIF(Measurement!$B:$B,B77,Measurement!$H:$H)=0,0,E77/SUMIF(Measurement!$B:$B,B77,Measurement!$H:$H))</f>
        <v/>
      </c>
      <c r="G77">
        <f>IFERROR(VLOOKUP(B77,Environments!$A$5:$I$50,4,FALSE),0)</f>
        <v/>
      </c>
      <c r="H77">
        <f>IFERROR(VLOOKUP(B77,Environments!$A$5:$I$50,5,FALSE),0)</f>
        <v/>
      </c>
      <c r="I77">
        <f>IFERROR(VLOOKUP(B77,Environments!$A$5:$I$50,9,FALSE),0)</f>
        <v/>
      </c>
      <c r="J77">
        <f>(D77*G77+F77*H77)*Global!$B$3</f>
        <v/>
      </c>
      <c r="K77">
        <f>IF(SUMIF(Measurement!$B:$B,B77,Measurement!$H:$H)=0,D77*I77,F77*I77)</f>
        <v/>
      </c>
      <c r="L77">
        <f>J77+K77</f>
        <v/>
      </c>
      <c r="M77">
        <f>IF(IFERROR(VLOOKUP(B77,Environments!$A$5:$I$50,3,FALSE),FALSE),L77*$B$2,0)</f>
        <v/>
      </c>
      <c r="N77">
        <f>L77+M77</f>
        <v/>
      </c>
      <c r="O77">
        <f>N77*12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1" t="inlineStr">
        <is>
          <t>Pick any Measurement family — rates come from Environments via VLOOKUP (works for any env code).</t>
        </is>
      </c>
    </row>
    <row r="3">
      <c r="A3" t="inlineStr">
        <is>
          <t>Family</t>
        </is>
      </c>
      <c r="B3" s="4" t="inlineStr">
        <is>
          <t>pre-k8s-cloud-applogs-tst</t>
        </is>
      </c>
    </row>
    <row r="4">
      <c r="A4" t="inlineStr">
        <is>
          <t>Env</t>
        </is>
      </c>
      <c r="B4">
        <f>IFERROR(INDEX(Measurement!B:B,MATCH(B3,Measurement!A:A,0)),"")</f>
        <v/>
      </c>
    </row>
    <row r="5">
      <c r="A5" t="inlineStr">
        <is>
          <t>GB hot</t>
        </is>
      </c>
      <c r="B5">
        <f>IFERROR(SUMIF(Measurement!A:A,B3,Measurement!G:G),0)</f>
        <v/>
      </c>
    </row>
    <row r="6">
      <c r="A6" t="inlineStr">
        <is>
          <t>GB frozen</t>
        </is>
      </c>
      <c r="B6">
        <f>IFERROR(SUMIF(Measurement!A:A,B3,Measurement!H:H),0)</f>
        <v/>
      </c>
    </row>
    <row r="7">
      <c r="A7" t="inlineStr">
        <is>
          <t>Hot share</t>
        </is>
      </c>
      <c r="B7">
        <f>IF(SUMIF(Measurement!B:B,B4,Measurement!G:G)=0,0,B5/SUMIF(Measurement!B:B,B4,Measurement!G:G))</f>
        <v/>
      </c>
    </row>
    <row r="8">
      <c r="A8" t="inlineStr">
        <is>
          <t>Frozen share</t>
        </is>
      </c>
      <c r="B8">
        <f>IF(SUMIF(Measurement!B:B,B4,Measurement!H:H)=0,0,B6/SUMIF(Measurement!B:B,B4,Measurement!H:H))</f>
        <v/>
      </c>
    </row>
    <row r="9">
      <c r="A9" t="inlineStr">
        <is>
          <t>Hot ECU/h</t>
        </is>
      </c>
      <c r="B9">
        <f>IFERROR(VLOOKUP(B4,Environments!$A$5:$I$50,4,FALSE),0)</f>
        <v/>
      </c>
    </row>
    <row r="10">
      <c r="A10" t="inlineStr">
        <is>
          <t>Frozen ECU/h</t>
        </is>
      </c>
      <c r="B10">
        <f>IFERROR(VLOOKUP(B4,Environments!$A$5:$I$50,5,FALSE),0)</f>
        <v/>
      </c>
    </row>
    <row r="11">
      <c r="A11" t="inlineStr">
        <is>
          <t>Snapshots / mo</t>
        </is>
      </c>
      <c r="B11">
        <f>IFERROR(VLOOKUP(B4,Environments!$A$5:$I$50,9,FALSE),0)</f>
        <v/>
      </c>
    </row>
    <row r="12">
      <c r="A12" t="inlineStr">
        <is>
          <t>Apply surcharge?</t>
        </is>
      </c>
      <c r="B12">
        <f>IFERROR(VLOOKUP(B4,Environments!$A$5:$I$50,3,FALSE),FALSE)</f>
        <v/>
      </c>
    </row>
    <row r="13">
      <c r="A13" t="inlineStr">
        <is>
          <t>ECU/mo capacity</t>
        </is>
      </c>
      <c r="B13">
        <f>(B7*B9+B8*B10)*Global!B3</f>
        <v/>
      </c>
    </row>
    <row r="14">
      <c r="A14" t="inlineStr">
        <is>
          <t>ECU/mo snapshots</t>
        </is>
      </c>
      <c r="B14">
        <f>IF(SUMIF(Measurement!B:B,B4,Measurement!H:H)=0,B7*B11,B8*B11)</f>
        <v/>
      </c>
    </row>
    <row r="15">
      <c r="A15" t="inlineStr">
        <is>
          <t>ECU/mo Elastic</t>
        </is>
      </c>
      <c r="B15">
        <f>B13+B14</f>
        <v/>
      </c>
    </row>
    <row r="16">
      <c r="A16" t="inlineStr">
        <is>
          <t>ECU/mo surcharge</t>
        </is>
      </c>
      <c r="B16">
        <f>IF(B12,B15*Global!B14,0)</f>
        <v/>
      </c>
    </row>
    <row r="17">
      <c r="A17" t="inlineStr">
        <is>
          <t>ECU/mo total</t>
        </is>
      </c>
      <c r="B17">
        <f>B15+B16</f>
        <v/>
      </c>
    </row>
    <row r="18">
      <c r="A18" t="inlineStr">
        <is>
          <t>ECU/year</t>
        </is>
      </c>
      <c r="B18">
        <f>B17*12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2026-09-24T08:59:23Z</dcterms:created>
  <dcterms:modified xmlns:dcterms="http://purl.org/dc/terms/" xmlns:xsi="http://www.w3.org/2001/XMLSchema-instance" xsi:type="dcterms:W3CDTF">2026-09-24T08:59:23Z</dcterms:modified>
</cp:coreProperties>
</file>